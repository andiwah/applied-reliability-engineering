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ndiWahyudi-MDD\Downloads\"/>
    </mc:Choice>
  </mc:AlternateContent>
  <xr:revisionPtr revIDLastSave="0" documentId="13_ncr:1_{7D53DC25-360F-40C2-9184-D844103EE81A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trategy_Economics" sheetId="1" r:id="rId1"/>
    <sheet name="Sensitivit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1" i="2" l="1"/>
  <c r="E11" i="2"/>
  <c r="H10" i="2"/>
  <c r="B9" i="2"/>
  <c r="B8" i="2"/>
  <c r="B7" i="2"/>
  <c r="B6" i="2"/>
  <c r="H12" i="2" s="1"/>
  <c r="B5" i="2"/>
  <c r="B4" i="2"/>
  <c r="B25" i="1"/>
  <c r="B24" i="1"/>
  <c r="B23" i="1"/>
  <c r="B20" i="1"/>
  <c r="B19" i="1"/>
  <c r="B18" i="1"/>
  <c r="I10" i="2" l="1"/>
  <c r="G10" i="2"/>
  <c r="H6" i="2"/>
  <c r="F11" i="2"/>
  <c r="F8" i="2"/>
  <c r="G6" i="2"/>
  <c r="H8" i="2"/>
  <c r="I6" i="2"/>
  <c r="E9" i="2"/>
  <c r="G11" i="2"/>
  <c r="F7" i="2"/>
  <c r="F9" i="2"/>
  <c r="H11" i="2"/>
  <c r="F6" i="2"/>
  <c r="I12" i="2"/>
  <c r="I8" i="2"/>
  <c r="E7" i="2"/>
  <c r="H7" i="2"/>
  <c r="H9" i="2"/>
  <c r="E12" i="2"/>
  <c r="G8" i="2"/>
  <c r="G7" i="2"/>
  <c r="G9" i="2"/>
  <c r="I7" i="2"/>
  <c r="I9" i="2"/>
  <c r="F12" i="2"/>
  <c r="E10" i="2"/>
  <c r="G12" i="2"/>
  <c r="E6" i="2"/>
  <c r="E8" i="2"/>
  <c r="F10" i="2"/>
</calcChain>
</file>

<file path=xl/sharedStrings.xml><?xml version="1.0" encoding="utf-8"?>
<sst xmlns="http://schemas.openxmlformats.org/spreadsheetml/2006/main" count="35" uniqueCount="35">
  <si>
    <t>Strategy Intensity</t>
  </si>
  <si>
    <t>RTF_Total_Cost</t>
  </si>
  <si>
    <t>PM_Total_Cost</t>
  </si>
  <si>
    <t>PdM_Total_Cost</t>
  </si>
  <si>
    <t>Break-even Calculations (Expected Cost)</t>
  </si>
  <si>
    <t>Inputs (editable)</t>
  </si>
  <si>
    <t>Failure rate, λ (failures/year)</t>
  </si>
  <si>
    <t>Failure consequence, C_f (USD/failure)</t>
  </si>
  <si>
    <t>PM annual cost, C_PM (USD/year)</t>
  </si>
  <si>
    <t>PM risk reduction factor (0-1)</t>
  </si>
  <si>
    <t>PdM annual cost, C_PdM (USD/year)</t>
  </si>
  <si>
    <t>PdM missed detection prob, p_miss (0-1)</t>
  </si>
  <si>
    <t>Expected Cost Summary</t>
  </si>
  <si>
    <t>EC_RTF = λ × C_f</t>
  </si>
  <si>
    <t>EC_PM = C_PM + (λ×(1−PM_red)) × C_f</t>
  </si>
  <si>
    <t>EC_PdM = C_PdM + (λ×p_miss) × C_f</t>
  </si>
  <si>
    <t>Break-even Failure Consequence Thresholds (solve for C_f)</t>
  </si>
  <si>
    <t>C_f where EC_PM = EC_RTF  →  C_f = C_PM / (λ × PM_red)</t>
  </si>
  <si>
    <t>C_f where EC_PdM = EC_RTF  →  C_f = C_PdM / (λ × (1−p_miss))</t>
  </si>
  <si>
    <t>C_f where EC_PdM = EC_PM  →  C_f = (C_PdM−C_PM) / (λ × (1−PM_red−p_miss))</t>
  </si>
  <si>
    <t>Tip: Use Excel Goal Seek to find break-even for other variables (λ, PM_red, p_miss).</t>
  </si>
  <si>
    <t>Sensitivity &amp; Scenario Table (Strategy Economics)</t>
  </si>
  <si>
    <t>Inputs (linked from Strategy_Economics break-even block)</t>
  </si>
  <si>
    <t>Sensitivity Table: Preferred Strategy (lowest expected cost)</t>
  </si>
  <si>
    <t>λ (failures/year)</t>
  </si>
  <si>
    <t>C_f (USD/failure)</t>
  </si>
  <si>
    <t>C_f \ λ</t>
  </si>
  <si>
    <t>C_PM (USD/year)</t>
  </si>
  <si>
    <t>PM_red (0-1)</t>
  </si>
  <si>
    <t>C_PdM (USD/year)</t>
  </si>
  <si>
    <t>p_miss (0-1)</t>
  </si>
  <si>
    <t>Legend</t>
  </si>
  <si>
    <t>RTF = Run-to-Failure</t>
  </si>
  <si>
    <t>PM  = Preventive Maintenance</t>
  </si>
  <si>
    <t>PdM = Predictive Maintenance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</si>
</sst>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name val="Calibri"/>
    </font>
    <font>
      <b/>
      <sz val="11"/>
      <name val="Calibri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8EEF7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3" fontId="0" fillId="0" borderId="1" xfId="0" applyNumberFormat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3" fontId="2" fillId="0" borderId="1" xfId="0" applyNumberFormat="1" applyFont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2" fillId="2" borderId="1" xfId="0" applyFont="1" applyFill="1" applyBorder="1" applyAlignment="1">
      <alignment horizontal="left" vertical="center"/>
    </xf>
    <xf numFmtId="0" fontId="0" fillId="0" borderId="0" xfId="0"/>
    <xf numFmtId="0" fontId="1" fillId="0" borderId="0" xfId="0" applyFont="1"/>
    <xf numFmtId="0" fontId="0" fillId="0" borderId="0" xfId="0" applyAlignment="1">
      <alignment horizontal="left" vertical="center"/>
    </xf>
    <xf numFmtId="0" fontId="3" fillId="0" borderId="0" xfId="0" applyFont="1"/>
  </cellXfs>
  <cellStyles count="1">
    <cellStyle name="Normal" xfId="0" builtinId="0"/>
  </cellStyles>
  <dxfs count="105"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Maintenance Strategy Economics Curve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Strategy_Economics!$B$1</c:f>
              <c:strCache>
                <c:ptCount val="1"/>
                <c:pt idx="0">
                  <c:v>RTF_Total_Cost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Strategy_Economics!$A$2:$A$6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cat>
          <c:val>
            <c:numRef>
              <c:f>Strategy_Economics!$B$2:$B$6</c:f>
              <c:numCache>
                <c:formatCode>General</c:formatCode>
                <c:ptCount val="5"/>
                <c:pt idx="0">
                  <c:v>40000</c:v>
                </c:pt>
                <c:pt idx="1">
                  <c:v>42000</c:v>
                </c:pt>
                <c:pt idx="2">
                  <c:v>45000</c:v>
                </c:pt>
                <c:pt idx="3">
                  <c:v>50000</c:v>
                </c:pt>
                <c:pt idx="4">
                  <c:v>58000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69F-4386-A5CD-9A9BB58C131A}"/>
            </c:ext>
          </c:extLst>
        </c:ser>
        <c:ser>
          <c:idx val="1"/>
          <c:order val="1"/>
          <c:tx>
            <c:strRef>
              <c:f>Strategy_Economics!$C$1</c:f>
              <c:strCache>
                <c:ptCount val="1"/>
                <c:pt idx="0">
                  <c:v>PM_Total_Cost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Strategy_Economics!$A$2:$A$6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cat>
          <c:val>
            <c:numRef>
              <c:f>Strategy_Economics!$C$2:$C$6</c:f>
              <c:numCache>
                <c:formatCode>General</c:formatCode>
                <c:ptCount val="5"/>
                <c:pt idx="0">
                  <c:v>35000</c:v>
                </c:pt>
                <c:pt idx="1">
                  <c:v>34000</c:v>
                </c:pt>
                <c:pt idx="2">
                  <c:v>33000</c:v>
                </c:pt>
                <c:pt idx="3">
                  <c:v>33500</c:v>
                </c:pt>
                <c:pt idx="4">
                  <c:v>35000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69F-4386-A5CD-9A9BB58C131A}"/>
            </c:ext>
          </c:extLst>
        </c:ser>
        <c:ser>
          <c:idx val="2"/>
          <c:order val="2"/>
          <c:tx>
            <c:strRef>
              <c:f>Strategy_Economics!$D$1</c:f>
              <c:strCache>
                <c:ptCount val="1"/>
                <c:pt idx="0">
                  <c:v>PdM_Total_Cost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Strategy_Economics!$A$2:$A$6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cat>
          <c:val>
            <c:numRef>
              <c:f>Strategy_Economics!$D$2:$D$6</c:f>
              <c:numCache>
                <c:formatCode>General</c:formatCode>
                <c:ptCount val="5"/>
                <c:pt idx="0">
                  <c:v>14000</c:v>
                </c:pt>
                <c:pt idx="1">
                  <c:v>15000</c:v>
                </c:pt>
                <c:pt idx="2">
                  <c:v>16000</c:v>
                </c:pt>
                <c:pt idx="3">
                  <c:v>17000</c:v>
                </c:pt>
                <c:pt idx="4">
                  <c:v>18500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F69F-4386-A5CD-9A9BB58C13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Maintenance Intensity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Total Expected Cost (USD)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7"/>
  <sheetViews>
    <sheetView tabSelected="1" workbookViewId="0">
      <selection activeCell="D11" sqref="D11"/>
    </sheetView>
  </sheetViews>
  <sheetFormatPr defaultRowHeight="14.5" x14ac:dyDescent="0.35"/>
  <cols>
    <col min="1" max="1" width="42" customWidth="1"/>
    <col min="2" max="2" width="18" customWidth="1"/>
    <col min="3" max="3" width="13.453125" bestFit="1" customWidth="1"/>
    <col min="4" max="4" width="14.542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2" spans="1:4" x14ac:dyDescent="0.35">
      <c r="A2">
        <v>0</v>
      </c>
      <c r="B2">
        <v>40000</v>
      </c>
      <c r="C2">
        <v>35000</v>
      </c>
      <c r="D2">
        <v>14000</v>
      </c>
    </row>
    <row r="3" spans="1:4" x14ac:dyDescent="0.35">
      <c r="A3">
        <v>1</v>
      </c>
      <c r="B3">
        <v>42000</v>
      </c>
      <c r="C3">
        <v>34000</v>
      </c>
      <c r="D3">
        <v>15000</v>
      </c>
    </row>
    <row r="4" spans="1:4" x14ac:dyDescent="0.35">
      <c r="A4">
        <v>2</v>
      </c>
      <c r="B4">
        <v>45000</v>
      </c>
      <c r="C4">
        <v>33000</v>
      </c>
      <c r="D4">
        <v>16000</v>
      </c>
    </row>
    <row r="5" spans="1:4" x14ac:dyDescent="0.35">
      <c r="A5">
        <v>3</v>
      </c>
      <c r="B5">
        <v>50000</v>
      </c>
      <c r="C5">
        <v>33500</v>
      </c>
      <c r="D5">
        <v>17000</v>
      </c>
    </row>
    <row r="6" spans="1:4" x14ac:dyDescent="0.35">
      <c r="A6">
        <v>4</v>
      </c>
      <c r="B6">
        <v>58000</v>
      </c>
      <c r="C6">
        <v>35000</v>
      </c>
      <c r="D6">
        <v>18500</v>
      </c>
    </row>
    <row r="9" spans="1:4" ht="15.5" x14ac:dyDescent="0.35">
      <c r="A9" s="12" t="s">
        <v>4</v>
      </c>
      <c r="B9" s="11"/>
      <c r="C9" s="11"/>
      <c r="D9" s="11"/>
    </row>
    <row r="10" spans="1:4" x14ac:dyDescent="0.35">
      <c r="A10" s="10" t="s">
        <v>5</v>
      </c>
      <c r="B10" s="11"/>
      <c r="C10" s="11"/>
      <c r="D10" s="11"/>
    </row>
    <row r="11" spans="1:4" x14ac:dyDescent="0.35">
      <c r="A11" s="2" t="s">
        <v>6</v>
      </c>
      <c r="B11" s="3">
        <v>0.5</v>
      </c>
    </row>
    <row r="12" spans="1:4" x14ac:dyDescent="0.35">
      <c r="A12" s="2" t="s">
        <v>7</v>
      </c>
      <c r="B12" s="3">
        <v>80000</v>
      </c>
    </row>
    <row r="13" spans="1:4" x14ac:dyDescent="0.35">
      <c r="A13" s="2" t="s">
        <v>8</v>
      </c>
      <c r="B13" s="3">
        <v>15000</v>
      </c>
    </row>
    <row r="14" spans="1:4" x14ac:dyDescent="0.35">
      <c r="A14" s="2" t="s">
        <v>9</v>
      </c>
      <c r="B14" s="3">
        <v>0.5</v>
      </c>
    </row>
    <row r="15" spans="1:4" x14ac:dyDescent="0.35">
      <c r="A15" s="2" t="s">
        <v>10</v>
      </c>
      <c r="B15" s="3">
        <v>10000</v>
      </c>
    </row>
    <row r="16" spans="1:4" x14ac:dyDescent="0.35">
      <c r="A16" s="2" t="s">
        <v>11</v>
      </c>
      <c r="B16" s="3">
        <v>0.1</v>
      </c>
    </row>
    <row r="17" spans="1:4" x14ac:dyDescent="0.35">
      <c r="A17" s="10" t="s">
        <v>12</v>
      </c>
      <c r="B17" s="11"/>
      <c r="C17" s="11"/>
      <c r="D17" s="11"/>
    </row>
    <row r="18" spans="1:4" x14ac:dyDescent="0.35">
      <c r="A18" s="2" t="s">
        <v>13</v>
      </c>
      <c r="B18" s="4">
        <f>B11*B12</f>
        <v>40000</v>
      </c>
    </row>
    <row r="19" spans="1:4" x14ac:dyDescent="0.35">
      <c r="A19" s="2" t="s">
        <v>14</v>
      </c>
      <c r="B19" s="4">
        <f>B13+(B11*(1-B14))*B12</f>
        <v>35000</v>
      </c>
    </row>
    <row r="20" spans="1:4" x14ac:dyDescent="0.35">
      <c r="A20" s="2" t="s">
        <v>15</v>
      </c>
      <c r="B20" s="4">
        <f>B15+(B11*B16)*B12</f>
        <v>14000</v>
      </c>
    </row>
    <row r="22" spans="1:4" x14ac:dyDescent="0.35">
      <c r="A22" s="10" t="s">
        <v>16</v>
      </c>
      <c r="B22" s="11"/>
      <c r="C22" s="11"/>
      <c r="D22" s="11"/>
    </row>
    <row r="23" spans="1:4" x14ac:dyDescent="0.35">
      <c r="A23" s="2" t="s">
        <v>17</v>
      </c>
      <c r="B23" s="4">
        <f>B13/(B11*B14)</f>
        <v>60000</v>
      </c>
    </row>
    <row r="24" spans="1:4" x14ac:dyDescent="0.35">
      <c r="A24" s="2" t="s">
        <v>18</v>
      </c>
      <c r="B24" s="4">
        <f>B15/(B11*(1-B16))</f>
        <v>22222.222222222223</v>
      </c>
    </row>
    <row r="25" spans="1:4" x14ac:dyDescent="0.35">
      <c r="A25" s="2" t="s">
        <v>19</v>
      </c>
      <c r="B25" s="4">
        <f>(B15-B13)/(B11*(1-B14-B16))</f>
        <v>-25000</v>
      </c>
    </row>
    <row r="27" spans="1:4" x14ac:dyDescent="0.35">
      <c r="A27" s="13" t="s">
        <v>20</v>
      </c>
      <c r="B27" s="11"/>
      <c r="C27" s="11"/>
      <c r="D27" s="11"/>
    </row>
  </sheetData>
  <mergeCells count="5">
    <mergeCell ref="A17:D17"/>
    <mergeCell ref="A9:D9"/>
    <mergeCell ref="A27:D27"/>
    <mergeCell ref="A22:D22"/>
    <mergeCell ref="A10:D10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8"/>
  <sheetViews>
    <sheetView workbookViewId="0"/>
  </sheetViews>
  <sheetFormatPr defaultRowHeight="14.5" x14ac:dyDescent="0.35"/>
  <cols>
    <col min="1" max="1" width="22" customWidth="1"/>
    <col min="2" max="2" width="18" customWidth="1"/>
    <col min="4" max="4" width="14" customWidth="1"/>
    <col min="5" max="9" width="10" customWidth="1"/>
  </cols>
  <sheetData>
    <row r="1" spans="1:9" ht="18.5" x14ac:dyDescent="0.45">
      <c r="A1" s="14" t="s">
        <v>21</v>
      </c>
      <c r="B1" s="11"/>
      <c r="C1" s="11"/>
      <c r="D1" s="11"/>
      <c r="E1" s="11"/>
      <c r="F1" s="11"/>
      <c r="G1" s="11"/>
      <c r="H1" s="11"/>
    </row>
    <row r="3" spans="1:9" ht="15.5" x14ac:dyDescent="0.35">
      <c r="A3" s="1" t="s">
        <v>22</v>
      </c>
      <c r="D3" s="1" t="s">
        <v>23</v>
      </c>
    </row>
    <row r="4" spans="1:9" x14ac:dyDescent="0.35">
      <c r="A4" s="2" t="s">
        <v>24</v>
      </c>
      <c r="B4" s="3">
        <f>Strategy_Economics!B11</f>
        <v>0.5</v>
      </c>
    </row>
    <row r="5" spans="1:9" x14ac:dyDescent="0.35">
      <c r="A5" s="2" t="s">
        <v>25</v>
      </c>
      <c r="B5" s="3">
        <f>Strategy_Economics!B12</f>
        <v>80000</v>
      </c>
      <c r="D5" s="5" t="s">
        <v>26</v>
      </c>
      <c r="E5" s="6">
        <v>0.1</v>
      </c>
      <c r="F5" s="6">
        <v>0.25</v>
      </c>
      <c r="G5" s="6">
        <v>0.5</v>
      </c>
      <c r="H5" s="6">
        <v>0.75</v>
      </c>
      <c r="I5" s="6">
        <v>1</v>
      </c>
    </row>
    <row r="6" spans="1:9" x14ac:dyDescent="0.35">
      <c r="A6" s="2" t="s">
        <v>27</v>
      </c>
      <c r="B6" s="3">
        <f>Strategy_Economics!B13</f>
        <v>15000</v>
      </c>
      <c r="D6" s="7">
        <v>20000</v>
      </c>
      <c r="E6" s="8" t="str">
        <f>IF((E5*D6)=MIN((E5*D6),(B6+(E5*(1-B7))*D6),(B8+(E5*B9)*D6)),"RTF",IF((B6+(E5*(1-B7))*D6)=MIN((E5*D6),(B6+(E5*(1-B7))*D6),(B8+(E5*B9)*D6)),"PM","PdM"))</f>
        <v>RTF</v>
      </c>
      <c r="F6" s="8" t="str">
        <f>IF((F5*D6)=MIN((F5*D6),(B6+(F5*(1-B7))*D6),(B8+(F5*B9)*D6)),"RTF",IF((B6+(F5*(1-B7))*D6)=MIN((F5*D6),(B6+(F5*(1-B7))*D6),(B8+(F5*B9)*D6)),"PM","PdM"))</f>
        <v>RTF</v>
      </c>
      <c r="G6" s="8" t="str">
        <f>IF((G5*D6)=MIN((G5*D6),(B6+(G5*(1-B7))*D6),(B8+(G5*B9)*D6)),"RTF",IF((B6+(G5*(1-B7))*D6)=MIN((G5*D6),(B6+(G5*(1-B7))*D6),(B8+(G5*B9)*D6)),"PM","PdM"))</f>
        <v>RTF</v>
      </c>
      <c r="H6" s="8" t="str">
        <f>IF((H5*D6)=MIN((H5*D6),(B6+(H5*(1-B7))*D6),(B8+(H5*B9)*D6)),"RTF",IF((B6+(H5*(1-B7))*D6)=MIN((H5*D6),(B6+(H5*(1-B7))*D6),(B8+(H5*B9)*D6)),"PM","PdM"))</f>
        <v>PdM</v>
      </c>
      <c r="I6" s="8" t="str">
        <f>IF((I5*D6)=MIN((I5*D6),(B6+(I5*(1-B7))*D6),(B8+(I5*B9)*D6)),"RTF",IF((B6+(I5*(1-B7))*D6)=MIN((I5*D6),(B6+(I5*(1-B7))*D6),(B8+(I5*B9)*D6)),"PM","PdM"))</f>
        <v>PdM</v>
      </c>
    </row>
    <row r="7" spans="1:9" x14ac:dyDescent="0.35">
      <c r="A7" s="2" t="s">
        <v>28</v>
      </c>
      <c r="B7" s="3">
        <f>Strategy_Economics!B14</f>
        <v>0.5</v>
      </c>
      <c r="D7" s="7">
        <v>40000</v>
      </c>
      <c r="E7" s="8" t="str">
        <f>IF((E5*D7)=MIN((E5*D7),(B6+(E5*(1-B7))*D7),(B8+(E5*B9)*D7)),"RTF",IF((B6+(E5*(1-B7))*D7)=MIN((E5*D7),(B6+(E5*(1-B7))*D7),(B8+(E5*B9)*D7)),"PM","PdM"))</f>
        <v>RTF</v>
      </c>
      <c r="F7" s="8" t="str">
        <f>IF((F5*D7)=MIN((F5*D7),(B6+(F5*(1-B7))*D7),(B8+(F5*B9)*D7)),"RTF",IF((B6+(F5*(1-B7))*D7)=MIN((F5*D7),(B6+(F5*(1-B7))*D7),(B8+(F5*B9)*D7)),"PM","PdM"))</f>
        <v>RTF</v>
      </c>
      <c r="G7" s="8" t="str">
        <f>IF((G5*D7)=MIN((G5*D7),(B6+(G5*(1-B7))*D7),(B8+(G5*B9)*D7)),"RTF",IF((B6+(G5*(1-B7))*D7)=MIN((G5*D7),(B6+(G5*(1-B7))*D7),(B8+(G5*B9)*D7)),"PM","PdM"))</f>
        <v>PdM</v>
      </c>
      <c r="H7" s="8" t="str">
        <f>IF((H5*D7)=MIN((H5*D7),(B6+(H5*(1-B7))*D7),(B8+(H5*B9)*D7)),"RTF",IF((B6+(H5*(1-B7))*D7)=MIN((H5*D7),(B6+(H5*(1-B7))*D7),(B8+(H5*B9)*D7)),"PM","PdM"))</f>
        <v>PdM</v>
      </c>
      <c r="I7" s="8" t="str">
        <f>IF((I5*D7)=MIN((I5*D7),(B6+(I5*(1-B7))*D7),(B8+(I5*B9)*D7)),"RTF",IF((B6+(I5*(1-B7))*D7)=MIN((I5*D7),(B6+(I5*(1-B7))*D7),(B8+(I5*B9)*D7)),"PM","PdM"))</f>
        <v>PdM</v>
      </c>
    </row>
    <row r="8" spans="1:9" x14ac:dyDescent="0.35">
      <c r="A8" s="2" t="s">
        <v>29</v>
      </c>
      <c r="B8" s="3">
        <f>Strategy_Economics!B15</f>
        <v>10000</v>
      </c>
      <c r="D8" s="7">
        <v>60000</v>
      </c>
      <c r="E8" s="8" t="str">
        <f>IF((E5*D8)=MIN((E5*D8),(B6+(E5*(1-B7))*D8),(B8+(E5*B9)*D8)),"RTF",IF((B6+(E5*(1-B7))*D8)=MIN((E5*D8),(B6+(E5*(1-B7))*D8),(B8+(E5*B9)*D8)),"PM","PdM"))</f>
        <v>RTF</v>
      </c>
      <c r="F8" s="8" t="str">
        <f>IF((F5*D8)=MIN((F5*D8),(B6+(F5*(1-B7))*D8),(B8+(F5*B9)*D8)),"RTF",IF((B6+(F5*(1-B7))*D8)=MIN((F5*D8),(B6+(F5*(1-B7))*D8),(B8+(F5*B9)*D8)),"PM","PdM"))</f>
        <v>PdM</v>
      </c>
      <c r="G8" s="8" t="str">
        <f>IF((G5*D8)=MIN((G5*D8),(B6+(G5*(1-B7))*D8),(B8+(G5*B9)*D8)),"RTF",IF((B6+(G5*(1-B7))*D8)=MIN((G5*D8),(B6+(G5*(1-B7))*D8),(B8+(G5*B9)*D8)),"PM","PdM"))</f>
        <v>PdM</v>
      </c>
      <c r="H8" s="8" t="str">
        <f>IF((H5*D8)=MIN((H5*D8),(B6+(H5*(1-B7))*D8),(B8+(H5*B9)*D8)),"RTF",IF((B6+(H5*(1-B7))*D8)=MIN((H5*D8),(B6+(H5*(1-B7))*D8),(B8+(H5*B9)*D8)),"PM","PdM"))</f>
        <v>PdM</v>
      </c>
      <c r="I8" s="8" t="str">
        <f>IF((I5*D8)=MIN((I5*D8),(B6+(I5*(1-B7))*D8),(B8+(I5*B9)*D8)),"RTF",IF((B6+(I5*(1-B7))*D8)=MIN((I5*D8),(B6+(I5*(1-B7))*D8),(B8+(I5*B9)*D8)),"PM","PdM"))</f>
        <v>PdM</v>
      </c>
    </row>
    <row r="9" spans="1:9" x14ac:dyDescent="0.35">
      <c r="A9" s="2" t="s">
        <v>30</v>
      </c>
      <c r="B9" s="3">
        <f>Strategy_Economics!B16</f>
        <v>0.1</v>
      </c>
      <c r="D9" s="7">
        <v>80000</v>
      </c>
      <c r="E9" s="8" t="str">
        <f>IF((E5*D9)=MIN((E5*D9),(B6+(E5*(1-B7))*D9),(B8+(E5*B9)*D9)),"RTF",IF((B6+(E5*(1-B7))*D9)=MIN((E5*D9),(B6+(E5*(1-B7))*D9),(B8+(E5*B9)*D9)),"PM","PdM"))</f>
        <v>RTF</v>
      </c>
      <c r="F9" s="8" t="str">
        <f>IF((F5*D9)=MIN((F5*D9),(B6+(F5*(1-B7))*D9),(B8+(F5*B9)*D9)),"RTF",IF((B6+(F5*(1-B7))*D9)=MIN((F5*D9),(B6+(F5*(1-B7))*D9),(B8+(F5*B9)*D9)),"PM","PdM"))</f>
        <v>PdM</v>
      </c>
      <c r="G9" s="8" t="str">
        <f>IF((G5*D9)=MIN((G5*D9),(B6+(G5*(1-B7))*D9),(B8+(G5*B9)*D9)),"RTF",IF((B6+(G5*(1-B7))*D9)=MIN((G5*D9),(B6+(G5*(1-B7))*D9),(B8+(G5*B9)*D9)),"PM","PdM"))</f>
        <v>PdM</v>
      </c>
      <c r="H9" s="8" t="str">
        <f>IF((H5*D9)=MIN((H5*D9),(B6+(H5*(1-B7))*D9),(B8+(H5*B9)*D9)),"RTF",IF((B6+(H5*(1-B7))*D9)=MIN((H5*D9),(B6+(H5*(1-B7))*D9),(B8+(H5*B9)*D9)),"PM","PdM"))</f>
        <v>PdM</v>
      </c>
      <c r="I9" s="8" t="str">
        <f>IF((I5*D9)=MIN((I5*D9),(B6+(I5*(1-B7))*D9),(B8+(I5*B9)*D9)),"RTF",IF((B6+(I5*(1-B7))*D9)=MIN((I5*D9),(B6+(I5*(1-B7))*D9),(B8+(I5*B9)*D9)),"PM","PdM"))</f>
        <v>PdM</v>
      </c>
    </row>
    <row r="10" spans="1:9" x14ac:dyDescent="0.35">
      <c r="D10" s="7">
        <v>100000</v>
      </c>
      <c r="E10" s="8" t="str">
        <f>IF((E5*D10)=MIN((E5*D10),(B6+(E5*(1-B7))*D10),(B8+(E5*B9)*D10)),"RTF",IF((B6+(E5*(1-B7))*D10)=MIN((E5*D10),(B6+(E5*(1-B7))*D10),(B8+(E5*B9)*D10)),"PM","PdM"))</f>
        <v>RTF</v>
      </c>
      <c r="F10" s="8" t="str">
        <f>IF((F5*D10)=MIN((F5*D10),(B6+(F5*(1-B7))*D10),(B8+(F5*B9)*D10)),"RTF",IF((B6+(F5*(1-B7))*D10)=MIN((F5*D10),(B6+(F5*(1-B7))*D10),(B8+(F5*B9)*D10)),"PM","PdM"))</f>
        <v>PdM</v>
      </c>
      <c r="G10" s="8" t="str">
        <f>IF((G5*D10)=MIN((G5*D10),(B6+(G5*(1-B7))*D10),(B8+(G5*B9)*D10)),"RTF",IF((B6+(G5*(1-B7))*D10)=MIN((G5*D10),(B6+(G5*(1-B7))*D10),(B8+(G5*B9)*D10)),"PM","PdM"))</f>
        <v>PdM</v>
      </c>
      <c r="H10" s="8" t="str">
        <f>IF((H5*D10)=MIN((H5*D10),(B6+(H5*(1-B7))*D10),(B8+(H5*B9)*D10)),"RTF",IF((B6+(H5*(1-B7))*D10)=MIN((H5*D10),(B6+(H5*(1-B7))*D10),(B8+(H5*B9)*D10)),"PM","PdM"))</f>
        <v>PdM</v>
      </c>
      <c r="I10" s="8" t="str">
        <f>IF((I5*D10)=MIN((I5*D10),(B6+(I5*(1-B7))*D10),(B8+(I5*B9)*D10)),"RTF",IF((B6+(I5*(1-B7))*D10)=MIN((I5*D10),(B6+(I5*(1-B7))*D10),(B8+(I5*B9)*D10)),"PM","PdM"))</f>
        <v>PdM</v>
      </c>
    </row>
    <row r="11" spans="1:9" x14ac:dyDescent="0.35">
      <c r="D11" s="7">
        <v>150000</v>
      </c>
      <c r="E11" s="8" t="str">
        <f>IF((E5*D11)=MIN((E5*D11),(B6+(E5*(1-B7))*D11),(B8+(E5*B9)*D11)),"RTF",IF((B6+(E5*(1-B7))*D11)=MIN((E5*D11),(B6+(E5*(1-B7))*D11),(B8+(E5*B9)*D11)),"PM","PdM"))</f>
        <v>PdM</v>
      </c>
      <c r="F11" s="8" t="str">
        <f>IF((F5*D11)=MIN((F5*D11),(B6+(F5*(1-B7))*D11),(B8+(F5*B9)*D11)),"RTF",IF((B6+(F5*(1-B7))*D11)=MIN((F5*D11),(B6+(F5*(1-B7))*D11),(B8+(F5*B9)*D11)),"PM","PdM"))</f>
        <v>PdM</v>
      </c>
      <c r="G11" s="8" t="str">
        <f>IF((G5*D11)=MIN((G5*D11),(B6+(G5*(1-B7))*D11),(B8+(G5*B9)*D11)),"RTF",IF((B6+(G5*(1-B7))*D11)=MIN((G5*D11),(B6+(G5*(1-B7))*D11),(B8+(G5*B9)*D11)),"PM","PdM"))</f>
        <v>PdM</v>
      </c>
      <c r="H11" s="8" t="str">
        <f>IF((H5*D11)=MIN((H5*D11),(B6+(H5*(1-B7))*D11),(B8+(H5*B9)*D11)),"RTF",IF((B6+(H5*(1-B7))*D11)=MIN((H5*D11),(B6+(H5*(1-B7))*D11),(B8+(H5*B9)*D11)),"PM","PdM"))</f>
        <v>PdM</v>
      </c>
      <c r="I11" s="8" t="str">
        <f>IF((I5*D11)=MIN((I5*D11),(B6+(I5*(1-B7))*D11),(B8+(I5*B9)*D11)),"RTF",IF((B6+(I5*(1-B7))*D11)=MIN((I5*D11),(B6+(I5*(1-B7))*D11),(B8+(I5*B9)*D11)),"PM","PdM"))</f>
        <v>PdM</v>
      </c>
    </row>
    <row r="12" spans="1:9" x14ac:dyDescent="0.35">
      <c r="D12" s="7">
        <v>200000</v>
      </c>
      <c r="E12" s="8" t="str">
        <f>IF((E5*D12)=MIN((E5*D12),(B6+(E5*(1-B7))*D12),(B8+(E5*B9)*D12)),"RTF",IF((B6+(E5*(1-B7))*D12)=MIN((E5*D12),(B6+(E5*(1-B7))*D12),(B8+(E5*B9)*D12)),"PM","PdM"))</f>
        <v>PdM</v>
      </c>
      <c r="F12" s="8" t="str">
        <f>IF((F5*D12)=MIN((F5*D12),(B6+(F5*(1-B7))*D12),(B8+(F5*B9)*D12)),"RTF",IF((B6+(F5*(1-B7))*D12)=MIN((F5*D12),(B6+(F5*(1-B7))*D12),(B8+(F5*B9)*D12)),"PM","PdM"))</f>
        <v>PdM</v>
      </c>
      <c r="G12" s="8" t="str">
        <f>IF((G5*D12)=MIN((G5*D12),(B6+(G5*(1-B7))*D12),(B8+(G5*B9)*D12)),"RTF",IF((B6+(G5*(1-B7))*D12)=MIN((G5*D12),(B6+(G5*(1-B7))*D12),(B8+(G5*B9)*D12)),"PM","PdM"))</f>
        <v>PdM</v>
      </c>
      <c r="H12" s="8" t="str">
        <f>IF((H5*D12)=MIN((H5*D12),(B6+(H5*(1-B7))*D12),(B8+(H5*B9)*D12)),"RTF",IF((B6+(H5*(1-B7))*D12)=MIN((H5*D12),(B6+(H5*(1-B7))*D12),(B8+(H5*B9)*D12)),"PM","PdM"))</f>
        <v>PdM</v>
      </c>
      <c r="I12" s="8" t="str">
        <f>IF((I5*D12)=MIN((I5*D12),(B6+(I5*(1-B7))*D12),(B8+(I5*B9)*D12)),"RTF",IF((B6+(I5*(1-B7))*D12)=MIN((I5*D12),(B6+(I5*(1-B7))*D12),(B8+(I5*B9)*D12)),"PM","PdM"))</f>
        <v>PdM</v>
      </c>
    </row>
    <row r="15" spans="1:9" x14ac:dyDescent="0.35">
      <c r="D15" s="9" t="s">
        <v>31</v>
      </c>
    </row>
    <row r="16" spans="1:9" x14ac:dyDescent="0.35">
      <c r="D16" t="s">
        <v>32</v>
      </c>
    </row>
    <row r="17" spans="4:4" x14ac:dyDescent="0.35">
      <c r="D17" t="s">
        <v>33</v>
      </c>
    </row>
    <row r="18" spans="4:4" x14ac:dyDescent="0.35">
      <c r="D18" t="s">
        <v>34</v>
      </c>
    </row>
  </sheetData>
  <mergeCells count="1">
    <mergeCell ref="A1:H1"/>
  </mergeCells>
  <conditionalFormatting sqref="E6">
    <cfRule type="expression" dxfId="104" priority="1">
      <formula>E6="RTF"</formula>
    </cfRule>
    <cfRule type="expression" dxfId="103" priority="2">
      <formula>E6="PM"</formula>
    </cfRule>
    <cfRule type="expression" dxfId="102" priority="3">
      <formula>E6="PdM"</formula>
    </cfRule>
  </conditionalFormatting>
  <conditionalFormatting sqref="F6">
    <cfRule type="expression" dxfId="101" priority="4">
      <formula>F6="RTF"</formula>
    </cfRule>
    <cfRule type="expression" dxfId="100" priority="5">
      <formula>F6="PM"</formula>
    </cfRule>
    <cfRule type="expression" dxfId="99" priority="6">
      <formula>F6="PdM"</formula>
    </cfRule>
  </conditionalFormatting>
  <conditionalFormatting sqref="G6">
    <cfRule type="expression" dxfId="98" priority="7">
      <formula>G6="RTF"</formula>
    </cfRule>
    <cfRule type="expression" dxfId="97" priority="8">
      <formula>G6="PM"</formula>
    </cfRule>
    <cfRule type="expression" dxfId="96" priority="9">
      <formula>G6="PdM"</formula>
    </cfRule>
  </conditionalFormatting>
  <conditionalFormatting sqref="H6">
    <cfRule type="expression" dxfId="95" priority="10">
      <formula>H6="RTF"</formula>
    </cfRule>
    <cfRule type="expression" dxfId="94" priority="11">
      <formula>H6="PM"</formula>
    </cfRule>
    <cfRule type="expression" dxfId="93" priority="12">
      <formula>H6="PdM"</formula>
    </cfRule>
  </conditionalFormatting>
  <conditionalFormatting sqref="I6">
    <cfRule type="expression" dxfId="92" priority="13">
      <formula>I6="RTF"</formula>
    </cfRule>
    <cfRule type="expression" dxfId="91" priority="14">
      <formula>I6="PM"</formula>
    </cfRule>
    <cfRule type="expression" dxfId="90" priority="15">
      <formula>I6="PdM"</formula>
    </cfRule>
  </conditionalFormatting>
  <conditionalFormatting sqref="E7">
    <cfRule type="expression" dxfId="89" priority="16">
      <formula>E7="RTF"</formula>
    </cfRule>
    <cfRule type="expression" dxfId="88" priority="17">
      <formula>E7="PM"</formula>
    </cfRule>
    <cfRule type="expression" dxfId="87" priority="18">
      <formula>E7="PdM"</formula>
    </cfRule>
  </conditionalFormatting>
  <conditionalFormatting sqref="F7">
    <cfRule type="expression" dxfId="86" priority="19">
      <formula>F7="RTF"</formula>
    </cfRule>
    <cfRule type="expression" dxfId="85" priority="20">
      <formula>F7="PM"</formula>
    </cfRule>
    <cfRule type="expression" dxfId="84" priority="21">
      <formula>F7="PdM"</formula>
    </cfRule>
  </conditionalFormatting>
  <conditionalFormatting sqref="G7">
    <cfRule type="expression" dxfId="83" priority="22">
      <formula>G7="RTF"</formula>
    </cfRule>
    <cfRule type="expression" dxfId="82" priority="23">
      <formula>G7="PM"</formula>
    </cfRule>
    <cfRule type="expression" dxfId="81" priority="24">
      <formula>G7="PdM"</formula>
    </cfRule>
  </conditionalFormatting>
  <conditionalFormatting sqref="H7">
    <cfRule type="expression" dxfId="80" priority="25">
      <formula>H7="RTF"</formula>
    </cfRule>
    <cfRule type="expression" dxfId="79" priority="26">
      <formula>H7="PM"</formula>
    </cfRule>
    <cfRule type="expression" dxfId="78" priority="27">
      <formula>H7="PdM"</formula>
    </cfRule>
  </conditionalFormatting>
  <conditionalFormatting sqref="I7">
    <cfRule type="expression" dxfId="77" priority="28">
      <formula>I7="RTF"</formula>
    </cfRule>
    <cfRule type="expression" dxfId="76" priority="29">
      <formula>I7="PM"</formula>
    </cfRule>
    <cfRule type="expression" dxfId="75" priority="30">
      <formula>I7="PdM"</formula>
    </cfRule>
  </conditionalFormatting>
  <conditionalFormatting sqref="E8">
    <cfRule type="expression" dxfId="74" priority="31">
      <formula>E8="RTF"</formula>
    </cfRule>
    <cfRule type="expression" dxfId="73" priority="32">
      <formula>E8="PM"</formula>
    </cfRule>
    <cfRule type="expression" dxfId="72" priority="33">
      <formula>E8="PdM"</formula>
    </cfRule>
  </conditionalFormatting>
  <conditionalFormatting sqref="F8">
    <cfRule type="expression" dxfId="71" priority="34">
      <formula>F8="RTF"</formula>
    </cfRule>
    <cfRule type="expression" dxfId="70" priority="35">
      <formula>F8="PM"</formula>
    </cfRule>
    <cfRule type="expression" dxfId="69" priority="36">
      <formula>F8="PdM"</formula>
    </cfRule>
  </conditionalFormatting>
  <conditionalFormatting sqref="G8">
    <cfRule type="expression" dxfId="68" priority="37">
      <formula>G8="RTF"</formula>
    </cfRule>
    <cfRule type="expression" dxfId="67" priority="38">
      <formula>G8="PM"</formula>
    </cfRule>
    <cfRule type="expression" dxfId="66" priority="39">
      <formula>G8="PdM"</formula>
    </cfRule>
  </conditionalFormatting>
  <conditionalFormatting sqref="H8">
    <cfRule type="expression" dxfId="65" priority="40">
      <formula>H8="RTF"</formula>
    </cfRule>
    <cfRule type="expression" dxfId="64" priority="41">
      <formula>H8="PM"</formula>
    </cfRule>
    <cfRule type="expression" dxfId="63" priority="42">
      <formula>H8="PdM"</formula>
    </cfRule>
  </conditionalFormatting>
  <conditionalFormatting sqref="I8">
    <cfRule type="expression" dxfId="62" priority="43">
      <formula>I8="RTF"</formula>
    </cfRule>
    <cfRule type="expression" dxfId="61" priority="44">
      <formula>I8="PM"</formula>
    </cfRule>
    <cfRule type="expression" dxfId="60" priority="45">
      <formula>I8="PdM"</formula>
    </cfRule>
  </conditionalFormatting>
  <conditionalFormatting sqref="E9">
    <cfRule type="expression" dxfId="59" priority="46">
      <formula>E9="RTF"</formula>
    </cfRule>
    <cfRule type="expression" dxfId="58" priority="47">
      <formula>E9="PM"</formula>
    </cfRule>
    <cfRule type="expression" dxfId="57" priority="48">
      <formula>E9="PdM"</formula>
    </cfRule>
  </conditionalFormatting>
  <conditionalFormatting sqref="F9">
    <cfRule type="expression" dxfId="56" priority="49">
      <formula>F9="RTF"</formula>
    </cfRule>
    <cfRule type="expression" dxfId="55" priority="50">
      <formula>F9="PM"</formula>
    </cfRule>
    <cfRule type="expression" dxfId="54" priority="51">
      <formula>F9="PdM"</formula>
    </cfRule>
  </conditionalFormatting>
  <conditionalFormatting sqref="G9">
    <cfRule type="expression" dxfId="53" priority="52">
      <formula>G9="RTF"</formula>
    </cfRule>
    <cfRule type="expression" dxfId="52" priority="53">
      <formula>G9="PM"</formula>
    </cfRule>
    <cfRule type="expression" dxfId="51" priority="54">
      <formula>G9="PdM"</formula>
    </cfRule>
  </conditionalFormatting>
  <conditionalFormatting sqref="H9">
    <cfRule type="expression" dxfId="50" priority="55">
      <formula>H9="RTF"</formula>
    </cfRule>
    <cfRule type="expression" dxfId="49" priority="56">
      <formula>H9="PM"</formula>
    </cfRule>
    <cfRule type="expression" dxfId="48" priority="57">
      <formula>H9="PdM"</formula>
    </cfRule>
  </conditionalFormatting>
  <conditionalFormatting sqref="I9">
    <cfRule type="expression" dxfId="47" priority="58">
      <formula>I9="RTF"</formula>
    </cfRule>
    <cfRule type="expression" dxfId="46" priority="59">
      <formula>I9="PM"</formula>
    </cfRule>
    <cfRule type="expression" dxfId="45" priority="60">
      <formula>I9="PdM"</formula>
    </cfRule>
  </conditionalFormatting>
  <conditionalFormatting sqref="E10">
    <cfRule type="expression" dxfId="44" priority="61">
      <formula>E10="RTF"</formula>
    </cfRule>
    <cfRule type="expression" dxfId="43" priority="62">
      <formula>E10="PM"</formula>
    </cfRule>
    <cfRule type="expression" dxfId="42" priority="63">
      <formula>E10="PdM"</formula>
    </cfRule>
  </conditionalFormatting>
  <conditionalFormatting sqref="F10">
    <cfRule type="expression" dxfId="41" priority="64">
      <formula>F10="RTF"</formula>
    </cfRule>
    <cfRule type="expression" dxfId="40" priority="65">
      <formula>F10="PM"</formula>
    </cfRule>
    <cfRule type="expression" dxfId="39" priority="66">
      <formula>F10="PdM"</formula>
    </cfRule>
  </conditionalFormatting>
  <conditionalFormatting sqref="G10">
    <cfRule type="expression" dxfId="38" priority="67">
      <formula>G10="RTF"</formula>
    </cfRule>
    <cfRule type="expression" dxfId="37" priority="68">
      <formula>G10="PM"</formula>
    </cfRule>
    <cfRule type="expression" dxfId="36" priority="69">
      <formula>G10="PdM"</formula>
    </cfRule>
  </conditionalFormatting>
  <conditionalFormatting sqref="H10">
    <cfRule type="expression" dxfId="35" priority="70">
      <formula>H10="RTF"</formula>
    </cfRule>
    <cfRule type="expression" dxfId="34" priority="71">
      <formula>H10="PM"</formula>
    </cfRule>
    <cfRule type="expression" dxfId="33" priority="72">
      <formula>H10="PdM"</formula>
    </cfRule>
  </conditionalFormatting>
  <conditionalFormatting sqref="I10">
    <cfRule type="expression" dxfId="32" priority="73">
      <formula>I10="RTF"</formula>
    </cfRule>
    <cfRule type="expression" dxfId="31" priority="74">
      <formula>I10="PM"</formula>
    </cfRule>
    <cfRule type="expression" dxfId="30" priority="75">
      <formula>I10="PdM"</formula>
    </cfRule>
  </conditionalFormatting>
  <conditionalFormatting sqref="E11">
    <cfRule type="expression" dxfId="29" priority="76">
      <formula>E11="RTF"</formula>
    </cfRule>
    <cfRule type="expression" dxfId="28" priority="77">
      <formula>E11="PM"</formula>
    </cfRule>
    <cfRule type="expression" dxfId="27" priority="78">
      <formula>E11="PdM"</formula>
    </cfRule>
  </conditionalFormatting>
  <conditionalFormatting sqref="F11">
    <cfRule type="expression" dxfId="26" priority="79">
      <formula>F11="RTF"</formula>
    </cfRule>
    <cfRule type="expression" dxfId="25" priority="80">
      <formula>F11="PM"</formula>
    </cfRule>
    <cfRule type="expression" dxfId="24" priority="81">
      <formula>F11="PdM"</formula>
    </cfRule>
  </conditionalFormatting>
  <conditionalFormatting sqref="G11">
    <cfRule type="expression" dxfId="23" priority="82">
      <formula>G11="RTF"</formula>
    </cfRule>
    <cfRule type="expression" dxfId="22" priority="83">
      <formula>G11="PM"</formula>
    </cfRule>
    <cfRule type="expression" dxfId="21" priority="84">
      <formula>G11="PdM"</formula>
    </cfRule>
  </conditionalFormatting>
  <conditionalFormatting sqref="H11">
    <cfRule type="expression" dxfId="20" priority="85">
      <formula>H11="RTF"</formula>
    </cfRule>
    <cfRule type="expression" dxfId="19" priority="86">
      <formula>H11="PM"</formula>
    </cfRule>
    <cfRule type="expression" dxfId="18" priority="87">
      <formula>H11="PdM"</formula>
    </cfRule>
  </conditionalFormatting>
  <conditionalFormatting sqref="I11">
    <cfRule type="expression" dxfId="17" priority="88">
      <formula>I11="RTF"</formula>
    </cfRule>
    <cfRule type="expression" dxfId="16" priority="89">
      <formula>I11="PM"</formula>
    </cfRule>
    <cfRule type="expression" dxfId="15" priority="90">
      <formula>I11="PdM"</formula>
    </cfRule>
  </conditionalFormatting>
  <conditionalFormatting sqref="E12">
    <cfRule type="expression" dxfId="14" priority="91">
      <formula>E12="RTF"</formula>
    </cfRule>
    <cfRule type="expression" dxfId="13" priority="92">
      <formula>E12="PM"</formula>
    </cfRule>
    <cfRule type="expression" dxfId="12" priority="93">
      <formula>E12="PdM"</formula>
    </cfRule>
  </conditionalFormatting>
  <conditionalFormatting sqref="F12">
    <cfRule type="expression" dxfId="11" priority="94">
      <formula>F12="RTF"</formula>
    </cfRule>
    <cfRule type="expression" dxfId="10" priority="95">
      <formula>F12="PM"</formula>
    </cfRule>
    <cfRule type="expression" dxfId="9" priority="96">
      <formula>F12="PdM"</formula>
    </cfRule>
  </conditionalFormatting>
  <conditionalFormatting sqref="G12">
    <cfRule type="expression" dxfId="8" priority="97">
      <formula>G12="RTF"</formula>
    </cfRule>
    <cfRule type="expression" dxfId="7" priority="98">
      <formula>G12="PM"</formula>
    </cfRule>
    <cfRule type="expression" dxfId="6" priority="99">
      <formula>G12="PdM"</formula>
    </cfRule>
  </conditionalFormatting>
  <conditionalFormatting sqref="H12">
    <cfRule type="expression" dxfId="5" priority="100">
      <formula>H12="RTF"</formula>
    </cfRule>
    <cfRule type="expression" dxfId="4" priority="101">
      <formula>H12="PM"</formula>
    </cfRule>
    <cfRule type="expression" dxfId="3" priority="102">
      <formula>H12="PdM"</formula>
    </cfRule>
  </conditionalFormatting>
  <conditionalFormatting sqref="I12">
    <cfRule type="expression" dxfId="2" priority="103">
      <formula>I12="RTF"</formula>
    </cfRule>
    <cfRule type="expression" dxfId="1" priority="104">
      <formula>I12="PM"</formula>
    </cfRule>
    <cfRule type="expression" dxfId="0" priority="105">
      <formula>I12="PdM"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Strategy_Economics</vt:lpstr>
      <vt:lpstr>Sensitivity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Andi Wahyudi - MDD</cp:lastModifiedBy>
  <dcterms:created xsi:type="dcterms:W3CDTF">2026-02-17T10:23:05Z</dcterms:created>
  <dcterms:modified xsi:type="dcterms:W3CDTF">2026-02-17T11:19:48Z</dcterms:modified>
</cp:coreProperties>
</file>