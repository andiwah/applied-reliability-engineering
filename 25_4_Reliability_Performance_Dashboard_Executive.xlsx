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cuments\SM Plant CAP\Personal\Books\Applied Reliability Engineering\"/>
    </mc:Choice>
  </mc:AlternateContent>
  <xr:revisionPtr revIDLastSave="0" documentId="13_ncr:1_{2651E694-4F55-47C6-8F71-3411884F32C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2" l="1"/>
  <c r="D10" i="2" s="1"/>
  <c r="B9" i="2"/>
  <c r="D9" i="2" s="1"/>
  <c r="D8" i="2"/>
  <c r="B8" i="2"/>
  <c r="B7" i="2"/>
  <c r="D7" i="2" s="1"/>
  <c r="B6" i="2"/>
  <c r="D6" i="2" s="1"/>
</calcChain>
</file>

<file path=xl/sharedStrings.xml><?xml version="1.0" encoding="utf-8"?>
<sst xmlns="http://schemas.openxmlformats.org/spreadsheetml/2006/main" count="30" uniqueCount="29">
  <si>
    <t>Month</t>
  </si>
  <si>
    <t>Expected_Loss_USD</t>
  </si>
  <si>
    <t>VaR95_USD</t>
  </si>
  <si>
    <t>Availability</t>
  </si>
  <si>
    <t>MTBF_hours</t>
  </si>
  <si>
    <t>MTTR_hours</t>
  </si>
  <si>
    <t>Jan</t>
  </si>
  <si>
    <t>Feb</t>
  </si>
  <si>
    <t>Mar</t>
  </si>
  <si>
    <t>Apr</t>
  </si>
  <si>
    <t>May</t>
  </si>
  <si>
    <t>Jun</t>
  </si>
  <si>
    <t>Reliability Performance Dashboard (Executive View)</t>
  </si>
  <si>
    <t>Scope: Example — Fleet &amp; Pump Population (PMP) | Period: Monthly</t>
  </si>
  <si>
    <t>KPI Snapshot (Latest Month)</t>
  </si>
  <si>
    <t>Trends (Last 6 Months)</t>
  </si>
  <si>
    <t>KPI</t>
  </si>
  <si>
    <t>Latest Value</t>
  </si>
  <si>
    <t>Target / Rule (example)</t>
  </si>
  <si>
    <t>Status</t>
  </si>
  <si>
    <t>Expected Loss (USD)</t>
  </si>
  <si>
    <t>Green ≤ 55k; Yellow ≤ 60k; Red &gt; 60k</t>
  </si>
  <si>
    <t>VaR 95% (USD)</t>
  </si>
  <si>
    <t>Green ≤ 155k; Yellow ≤ 169k; Red &gt; 169k</t>
  </si>
  <si>
    <t>Green ≥ 0.990; Yellow ≥ 0.987; Red &lt; 0.987</t>
  </si>
  <si>
    <t>MTBF (hours)</t>
  </si>
  <si>
    <t>Green ≥ 480; Yellow ≥ 450; Red &lt; 450</t>
  </si>
  <si>
    <t>MTTR (hours)</t>
  </si>
  <si>
    <t>Green ≤ 5.5; Yellow ≤ 6.0; Red &gt; 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</si>
</sst>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15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Trend — Expected Loss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Expected_Loss_USD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#,##0</c:formatCode>
                <c:ptCount val="6"/>
                <c:pt idx="0">
                  <c:v>60000</c:v>
                </c:pt>
                <c:pt idx="1">
                  <c:v>58000</c:v>
                </c:pt>
                <c:pt idx="2">
                  <c:v>55000</c:v>
                </c:pt>
                <c:pt idx="3">
                  <c:v>53000</c:v>
                </c:pt>
                <c:pt idx="4">
                  <c:v>52000</c:v>
                </c:pt>
                <c:pt idx="5">
                  <c:v>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31-4EBA-98A3-20876D70B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Risk Trend — VaR 95%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Data!$C$1</c:f>
              <c:strCache>
                <c:ptCount val="1"/>
                <c:pt idx="0">
                  <c:v>VaR95_USD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#,##0</c:formatCode>
                <c:ptCount val="6"/>
                <c:pt idx="0">
                  <c:v>169000</c:v>
                </c:pt>
                <c:pt idx="1">
                  <c:v>165000</c:v>
                </c:pt>
                <c:pt idx="2">
                  <c:v>160000</c:v>
                </c:pt>
                <c:pt idx="3">
                  <c:v>155000</c:v>
                </c:pt>
                <c:pt idx="4">
                  <c:v>150000</c:v>
                </c:pt>
                <c:pt idx="5">
                  <c:v>145000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38-4A5F-93B7-78CC186CC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Operational Trend — Availability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Data!$D$1</c:f>
              <c:strCache>
                <c:ptCount val="1"/>
                <c:pt idx="0">
                  <c:v>Availability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Data!$D$2:$D$7</c:f>
              <c:numCache>
                <c:formatCode>0.000</c:formatCode>
                <c:ptCount val="6"/>
                <c:pt idx="0">
                  <c:v>0.98499999999999999</c:v>
                </c:pt>
                <c:pt idx="1">
                  <c:v>0.98599999999999999</c:v>
                </c:pt>
                <c:pt idx="2">
                  <c:v>0.98699999999999999</c:v>
                </c:pt>
                <c:pt idx="3">
                  <c:v>0.98799999999999999</c:v>
                </c:pt>
                <c:pt idx="4">
                  <c:v>0.98899999999999999</c:v>
                </c:pt>
                <c:pt idx="5">
                  <c:v>0.99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71-4C98-A2D6-4F431C211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Availability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64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648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37</xdr:row>
      <xdr:rowOff>0</xdr:rowOff>
    </xdr:from>
    <xdr:ext cx="64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1" sqref="E11"/>
    </sheetView>
  </sheetViews>
  <sheetFormatPr defaultRowHeight="14.5" x14ac:dyDescent="0.35"/>
  <cols>
    <col min="1" max="1" width="10" customWidth="1"/>
    <col min="2" max="6" width="1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60000</v>
      </c>
      <c r="C2" s="3">
        <v>169000</v>
      </c>
      <c r="D2" s="4">
        <v>0.98499999999999999</v>
      </c>
      <c r="E2" s="3">
        <v>420</v>
      </c>
      <c r="F2" s="5">
        <v>6.2</v>
      </c>
    </row>
    <row r="3" spans="1:6" x14ac:dyDescent="0.35">
      <c r="A3" s="2" t="s">
        <v>7</v>
      </c>
      <c r="B3" s="3">
        <v>58000</v>
      </c>
      <c r="C3" s="3">
        <v>165000</v>
      </c>
      <c r="D3" s="4">
        <v>0.98599999999999999</v>
      </c>
      <c r="E3" s="3">
        <v>435</v>
      </c>
      <c r="F3" s="5">
        <v>6</v>
      </c>
    </row>
    <row r="4" spans="1:6" x14ac:dyDescent="0.35">
      <c r="A4" s="2" t="s">
        <v>8</v>
      </c>
      <c r="B4" s="3">
        <v>55000</v>
      </c>
      <c r="C4" s="3">
        <v>160000</v>
      </c>
      <c r="D4" s="4">
        <v>0.98699999999999999</v>
      </c>
      <c r="E4" s="3">
        <v>450</v>
      </c>
      <c r="F4" s="5">
        <v>5.8</v>
      </c>
    </row>
    <row r="5" spans="1:6" x14ac:dyDescent="0.35">
      <c r="A5" s="2" t="s">
        <v>9</v>
      </c>
      <c r="B5" s="3">
        <v>53000</v>
      </c>
      <c r="C5" s="3">
        <v>155000</v>
      </c>
      <c r="D5" s="4">
        <v>0.98799999999999999</v>
      </c>
      <c r="E5" s="3">
        <v>470</v>
      </c>
      <c r="F5" s="5">
        <v>5.6</v>
      </c>
    </row>
    <row r="6" spans="1:6" x14ac:dyDescent="0.35">
      <c r="A6" s="2" t="s">
        <v>10</v>
      </c>
      <c r="B6" s="3">
        <v>52000</v>
      </c>
      <c r="C6" s="3">
        <v>150000</v>
      </c>
      <c r="D6" s="4">
        <v>0.98899999999999999</v>
      </c>
      <c r="E6" s="3">
        <v>480</v>
      </c>
      <c r="F6" s="5">
        <v>5.4</v>
      </c>
    </row>
    <row r="7" spans="1:6" x14ac:dyDescent="0.35">
      <c r="A7" s="2" t="s">
        <v>11</v>
      </c>
      <c r="B7" s="3">
        <v>50000</v>
      </c>
      <c r="C7" s="3">
        <v>145000</v>
      </c>
      <c r="D7" s="4">
        <v>0.99</v>
      </c>
      <c r="E7" s="3">
        <v>500</v>
      </c>
      <c r="F7" s="5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workbookViewId="0">
      <pane ySplit="5" topLeftCell="A6" activePane="bottomLeft" state="frozen"/>
      <selection pane="bottomLeft" activeCell="C13" sqref="C13"/>
    </sheetView>
  </sheetViews>
  <sheetFormatPr defaultRowHeight="14.5" x14ac:dyDescent="0.35"/>
  <cols>
    <col min="1" max="1" width="28" customWidth="1"/>
    <col min="2" max="2" width="16" customWidth="1"/>
    <col min="3" max="3" width="52" customWidth="1"/>
    <col min="4" max="4" width="12" customWidth="1"/>
    <col min="6" max="9" width="18" customWidth="1"/>
  </cols>
  <sheetData>
    <row r="1" spans="1:9" ht="23.5" x14ac:dyDescent="0.35">
      <c r="A1" s="8" t="s">
        <v>12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13</v>
      </c>
      <c r="B2" s="9"/>
      <c r="C2" s="9"/>
      <c r="D2" s="9"/>
      <c r="E2" s="9"/>
      <c r="F2" s="9"/>
      <c r="G2" s="9"/>
      <c r="H2" s="9"/>
      <c r="I2" s="9"/>
    </row>
    <row r="4" spans="1:9" ht="15.5" x14ac:dyDescent="0.35">
      <c r="A4" s="10" t="s">
        <v>14</v>
      </c>
      <c r="B4" s="9"/>
      <c r="C4" s="9"/>
      <c r="D4" s="9"/>
      <c r="F4" s="10" t="s">
        <v>15</v>
      </c>
      <c r="G4" s="9"/>
      <c r="H4" s="9"/>
      <c r="I4" s="9"/>
    </row>
    <row r="5" spans="1:9" x14ac:dyDescent="0.35">
      <c r="A5" s="1" t="s">
        <v>16</v>
      </c>
      <c r="B5" s="1" t="s">
        <v>17</v>
      </c>
      <c r="C5" s="1" t="s">
        <v>18</v>
      </c>
      <c r="D5" s="1" t="s">
        <v>19</v>
      </c>
    </row>
    <row r="6" spans="1:9" x14ac:dyDescent="0.35">
      <c r="A6" s="6" t="s">
        <v>20</v>
      </c>
      <c r="B6" s="3">
        <f>Data!B7</f>
        <v>50000</v>
      </c>
      <c r="C6" s="7" t="s">
        <v>21</v>
      </c>
      <c r="D6" s="2" t="str">
        <f>IF(B6&lt;=55000,"GREEN",IF(B6&lt;=60000,"YELLOW","RED"))</f>
        <v>GREEN</v>
      </c>
    </row>
    <row r="7" spans="1:9" x14ac:dyDescent="0.35">
      <c r="A7" s="6" t="s">
        <v>22</v>
      </c>
      <c r="B7" s="3">
        <f>Data!C7</f>
        <v>145000</v>
      </c>
      <c r="C7" s="7" t="s">
        <v>23</v>
      </c>
      <c r="D7" s="2" t="str">
        <f>IF(B7&lt;=155000,"GREEN",IF(B7&lt;=169000,"YELLOW","RED"))</f>
        <v>GREEN</v>
      </c>
    </row>
    <row r="8" spans="1:9" x14ac:dyDescent="0.35">
      <c r="A8" s="6" t="s">
        <v>3</v>
      </c>
      <c r="B8" s="4">
        <f>Data!D7</f>
        <v>0.99</v>
      </c>
      <c r="C8" s="7" t="s">
        <v>24</v>
      </c>
      <c r="D8" s="2" t="str">
        <f>IF(B8&gt;=0.99,"GREEN",IF(B8&gt;=0.987,"YELLOW","RED"))</f>
        <v>GREEN</v>
      </c>
    </row>
    <row r="9" spans="1:9" x14ac:dyDescent="0.35">
      <c r="A9" s="6" t="s">
        <v>25</v>
      </c>
      <c r="B9" s="3">
        <f>Data!E7</f>
        <v>500</v>
      </c>
      <c r="C9" s="7" t="s">
        <v>26</v>
      </c>
      <c r="D9" s="2" t="str">
        <f>IF(B9&gt;=480,"GREEN",IF(B9&gt;=450,"YELLOW","RED"))</f>
        <v>GREEN</v>
      </c>
    </row>
    <row r="10" spans="1:9" x14ac:dyDescent="0.35">
      <c r="A10" s="6" t="s">
        <v>27</v>
      </c>
      <c r="B10" s="5">
        <f>Data!F7</f>
        <v>5.2</v>
      </c>
      <c r="C10" s="7" t="s">
        <v>28</v>
      </c>
      <c r="D10" s="2" t="str">
        <f>IF(B10&lt;=5.5,"GREEN",IF(B10&lt;=6,"YELLOW","RED"))</f>
        <v>GREEN</v>
      </c>
    </row>
  </sheetData>
  <mergeCells count="4">
    <mergeCell ref="A1:I1"/>
    <mergeCell ref="A4:D4"/>
    <mergeCell ref="F4:I4"/>
    <mergeCell ref="A2:I2"/>
  </mergeCells>
  <conditionalFormatting sqref="D6">
    <cfRule type="expression" dxfId="14" priority="1">
      <formula>D6="GREEN"</formula>
    </cfRule>
    <cfRule type="expression" dxfId="13" priority="2">
      <formula>D6="YELLOW"</formula>
    </cfRule>
    <cfRule type="expression" dxfId="12" priority="3">
      <formula>D6="RED"</formula>
    </cfRule>
  </conditionalFormatting>
  <conditionalFormatting sqref="D7">
    <cfRule type="expression" dxfId="11" priority="4">
      <formula>D7="GREEN"</formula>
    </cfRule>
    <cfRule type="expression" dxfId="10" priority="5">
      <formula>D7="YELLOW"</formula>
    </cfRule>
    <cfRule type="expression" dxfId="9" priority="6">
      <formula>D7="RED"</formula>
    </cfRule>
  </conditionalFormatting>
  <conditionalFormatting sqref="D8">
    <cfRule type="expression" dxfId="8" priority="7">
      <formula>D8="GREEN"</formula>
    </cfRule>
    <cfRule type="expression" dxfId="7" priority="8">
      <formula>D8="YELLOW"</formula>
    </cfRule>
    <cfRule type="expression" dxfId="6" priority="9">
      <formula>D8="RED"</formula>
    </cfRule>
  </conditionalFormatting>
  <conditionalFormatting sqref="D9">
    <cfRule type="expression" dxfId="5" priority="10">
      <formula>D9="GREEN"</formula>
    </cfRule>
    <cfRule type="expression" dxfId="4" priority="11">
      <formula>D9="YELLOW"</formula>
    </cfRule>
    <cfRule type="expression" dxfId="3" priority="12">
      <formula>D9="RED"</formula>
    </cfRule>
  </conditionalFormatting>
  <conditionalFormatting sqref="D10">
    <cfRule type="expression" dxfId="2" priority="13">
      <formula>D10="GREEN"</formula>
    </cfRule>
    <cfRule type="expression" dxfId="1" priority="14">
      <formula>D10="YELLOW"</formula>
    </cfRule>
    <cfRule type="expression" dxfId="0" priority="15">
      <formula>D10="RED"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2026-02-17T09:31:01Z</dcterms:created>
  <dcterms:modified xsi:type="dcterms:W3CDTF">2026-02-17T09:33:37Z</dcterms:modified>
</cp:coreProperties>
</file>