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;;;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Expected Loss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'Data'!$A$2:$A$7</f>
            </numRef>
          </cat>
          <val>
            <numRef>
              <f>'Data'!$B$2:$B$7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Trend — Expected Loss (USD)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'Data'!$A$2:$A$7</f>
            </numRef>
          </cat>
          <val>
            <numRef>
              <f>'Data'!$B$2:$B$7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Trend — VaR 95% (USD)</a:t>
            </a:r>
          </a:p>
        </rich>
      </tx>
    </title>
    <plotArea>
      <lineChart>
        <grouping val="standard"/>
        <ser>
          <idx val="0"/>
          <order val="0"/>
          <tx>
            <strRef>
              <f>'Data'!C1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'Data'!$A$2:$A$7</f>
            </numRef>
          </cat>
          <val>
            <numRef>
              <f>'Data'!$C$2:$C$7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Operational Trend — Availability</a:t>
            </a:r>
          </a:p>
        </rich>
      </tx>
    </title>
    <plotArea>
      <lineChart>
        <grouping val="standard"/>
        <ser>
          <idx val="0"/>
          <order val="0"/>
          <tx>
            <strRef>
              <f>'Data'!D1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'Data'!$A$2:$A$7</f>
            </numRef>
          </cat>
          <val>
            <numRef>
              <f>'Data'!$D$2:$D$7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Availability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5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21</row>
      <rowOff>0</rowOff>
    </from>
    <ext cx="64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37</row>
      <rowOff>0</rowOff>
    </from>
    <ext cx="64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Expected_Loss</t>
        </is>
      </c>
      <c r="C1" t="inlineStr">
        <is>
          <t>VaR_95</t>
        </is>
      </c>
      <c r="D1" t="inlineStr">
        <is>
          <t>Availability</t>
        </is>
      </c>
      <c r="E1" t="inlineStr">
        <is>
          <t>MTBF</t>
        </is>
      </c>
      <c r="F1" t="inlineStr">
        <is>
          <t>MTTR</t>
        </is>
      </c>
    </row>
    <row r="2">
      <c r="A2" t="inlineStr">
        <is>
          <t>Jan</t>
        </is>
      </c>
      <c r="B2" t="n">
        <v>60000</v>
      </c>
      <c r="C2" t="n">
        <v>169000</v>
      </c>
      <c r="D2" t="n">
        <v>0.985</v>
      </c>
      <c r="E2" t="n">
        <v>420</v>
      </c>
      <c r="F2" t="n">
        <v>6.2</v>
      </c>
    </row>
    <row r="3">
      <c r="A3" t="inlineStr">
        <is>
          <t>Feb</t>
        </is>
      </c>
      <c r="B3" t="n">
        <v>58000</v>
      </c>
      <c r="C3" t="n">
        <v>165000</v>
      </c>
      <c r="D3" t="n">
        <v>0.986</v>
      </c>
      <c r="E3" t="n">
        <v>435</v>
      </c>
      <c r="F3" t="n">
        <v>6</v>
      </c>
    </row>
    <row r="4">
      <c r="A4" t="inlineStr">
        <is>
          <t>Mar</t>
        </is>
      </c>
      <c r="B4" t="n">
        <v>55000</v>
      </c>
      <c r="C4" t="n">
        <v>160000</v>
      </c>
      <c r="D4" t="n">
        <v>0.987</v>
      </c>
      <c r="E4" t="n">
        <v>450</v>
      </c>
      <c r="F4" t="n">
        <v>5.8</v>
      </c>
    </row>
    <row r="5">
      <c r="A5" t="inlineStr">
        <is>
          <t>Apr</t>
        </is>
      </c>
      <c r="B5" t="n">
        <v>53000</v>
      </c>
      <c r="C5" t="n">
        <v>155000</v>
      </c>
      <c r="D5" t="n">
        <v>0.988</v>
      </c>
      <c r="E5" t="n">
        <v>470</v>
      </c>
      <c r="F5" t="n">
        <v>5.6</v>
      </c>
    </row>
    <row r="6">
      <c r="A6" t="inlineStr">
        <is>
          <t>May</t>
        </is>
      </c>
      <c r="B6" t="n">
        <v>52000</v>
      </c>
      <c r="C6" t="n">
        <v>150000</v>
      </c>
      <c r="D6" t="n">
        <v>0.989</v>
      </c>
      <c r="E6" t="n">
        <v>480</v>
      </c>
      <c r="F6" t="n">
        <v>5.4</v>
      </c>
    </row>
    <row r="7">
      <c r="A7" t="inlineStr">
        <is>
          <t>Jun</t>
        </is>
      </c>
      <c r="B7" t="n">
        <v>50000</v>
      </c>
      <c r="C7" t="n">
        <v>145000</v>
      </c>
      <c r="D7" t="n">
        <v>0.99</v>
      </c>
      <c r="E7" t="n">
        <v>500</v>
      </c>
      <c r="F7" t="n">
        <v>5.2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52" customWidth="1" min="3" max="3"/>
    <col width="10" customWidth="1" min="4" max="4"/>
    <col hidden="1" width="13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Reliability Performance Dashboard (Executive View)</t>
        </is>
      </c>
    </row>
    <row r="2">
      <c r="A2" s="2" t="inlineStr">
        <is>
          <t>Scope: Example — Fleet &amp; Pump Population (PMP) | Period: Monthly</t>
        </is>
      </c>
    </row>
    <row r="3"/>
    <row r="4">
      <c r="A4" s="3" t="inlineStr">
        <is>
          <t>KPI Snapshot (Latest Month)</t>
        </is>
      </c>
      <c r="F4" s="3" t="inlineStr">
        <is>
          <t>Trends (Last 6 Months)</t>
        </is>
      </c>
    </row>
    <row r="5">
      <c r="A5" s="4" t="inlineStr">
        <is>
          <t>KPI</t>
        </is>
      </c>
      <c r="B5" s="4" t="inlineStr">
        <is>
          <t>Latest Value</t>
        </is>
      </c>
      <c r="C5" s="4" t="inlineStr">
        <is>
          <t>Target / Rule (example)</t>
        </is>
      </c>
      <c r="D5" s="4" t="inlineStr">
        <is>
          <t>Status</t>
        </is>
      </c>
      <c r="E5" s="4" t="inlineStr">
        <is>
          <t>Helper</t>
        </is>
      </c>
    </row>
    <row r="6">
      <c r="A6" s="5" t="inlineStr">
        <is>
          <t>Expected Loss (USD)</t>
        </is>
      </c>
      <c r="B6" s="6">
        <f>Data!B7</f>
        <v/>
      </c>
      <c r="C6" s="7" t="inlineStr">
        <is>
          <t>Lower is better (Green ≤ 55k; Yellow ≤ 60k; Red &gt; 60k)</t>
        </is>
      </c>
      <c r="D6" s="8">
        <f>E6</f>
        <v/>
      </c>
      <c r="E6">
        <f>B6</f>
        <v/>
      </c>
    </row>
    <row r="7">
      <c r="A7" s="5" t="inlineStr">
        <is>
          <t>VaR 95% (USD)</t>
        </is>
      </c>
      <c r="B7" s="6">
        <f>Data!C7</f>
        <v/>
      </c>
      <c r="C7" s="7" t="inlineStr">
        <is>
          <t>Lower is better (Green ≤ 155k; Yellow ≤ 169k; Red &gt; 169k)</t>
        </is>
      </c>
      <c r="D7" s="8">
        <f>E7</f>
        <v/>
      </c>
      <c r="E7">
        <f>B7</f>
        <v/>
      </c>
    </row>
    <row r="8">
      <c r="A8" s="5" t="inlineStr">
        <is>
          <t>Availability</t>
        </is>
      </c>
      <c r="B8" s="9">
        <f>Data!D7</f>
        <v/>
      </c>
      <c r="C8" s="7" t="inlineStr">
        <is>
          <t>Higher is better (Green ≥ 0.990; Yellow ≥ 0.987; Red &lt; 0.987)</t>
        </is>
      </c>
      <c r="D8" s="8">
        <f>E8</f>
        <v/>
      </c>
      <c r="E8">
        <f>-B8</f>
        <v/>
      </c>
    </row>
    <row r="9">
      <c r="A9" s="5" t="inlineStr">
        <is>
          <t>MTBF (hours)</t>
        </is>
      </c>
      <c r="B9" s="6">
        <f>Data!E7</f>
        <v/>
      </c>
      <c r="C9" s="7" t="inlineStr">
        <is>
          <t>Higher is better (Green ≥ 480; Yellow ≥ 450; Red &lt; 450)</t>
        </is>
      </c>
      <c r="D9" s="8">
        <f>E9</f>
        <v/>
      </c>
      <c r="E9">
        <f>-B9</f>
        <v/>
      </c>
    </row>
    <row r="10">
      <c r="A10" s="5" t="inlineStr">
        <is>
          <t>MTTR (hours)</t>
        </is>
      </c>
      <c r="B10" s="10">
        <f>Data!F7</f>
        <v/>
      </c>
      <c r="C10" s="7" t="inlineStr">
        <is>
          <t>Lower is better (Green ≤ 5.5; Yellow ≤ 6.0; Red &gt; 6.0)</t>
        </is>
      </c>
      <c r="D10" s="8">
        <f>E10</f>
        <v/>
      </c>
      <c r="E10">
        <f>B10</f>
        <v/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4">
    <mergeCell ref="A4:D4"/>
    <mergeCell ref="A2:H2"/>
    <mergeCell ref="F4:H4"/>
    <mergeCell ref="A1:H1"/>
  </mergeCells>
  <conditionalFormatting sqref="D6:D10">
    <cfRule type="iconSet" priority="1">
      <iconSet iconSet="3TrafficLights1" showValue="0" percent="1">
        <cfvo type="percent" val="33"/>
        <cfvo type="percent" val="67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2026-02-17T08:34:46Z</dcterms:created>
  <dcterms:modified xmlns:dcterms="http://purl.org/dc/terms/" xmlns:xsi="http://www.w3.org/2001/XMLSchema-instance" xsi:type="dcterms:W3CDTF">2026-02-17T08:40:28Z</dcterms:modified>
</cp:coreProperties>
</file>