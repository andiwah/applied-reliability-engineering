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iWahyudi-MDD\Documents\SM Plant CAP\Personal\Books\Applied Reliability Engineering\"/>
    </mc:Choice>
  </mc:AlternateContent>
  <xr:revisionPtr revIDLastSave="0" documentId="13_ncr:1_{B68A2E4E-26A1-42EC-BF0F-F1BA7504B5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_Messy_WO" sheetId="2" r:id="rId1"/>
    <sheet name="Clean_Maintenance_Log" sheetId="3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61" i="3" l="1"/>
  <c r="U261" i="3"/>
  <c r="O261" i="3"/>
  <c r="AA260" i="3"/>
  <c r="U260" i="3"/>
  <c r="O260" i="3"/>
  <c r="AA259" i="3"/>
  <c r="U259" i="3"/>
  <c r="O259" i="3"/>
  <c r="AA258" i="3"/>
  <c r="U258" i="3"/>
  <c r="O258" i="3"/>
  <c r="AA257" i="3"/>
  <c r="U257" i="3"/>
  <c r="O257" i="3"/>
  <c r="AA256" i="3"/>
  <c r="U256" i="3"/>
  <c r="O256" i="3"/>
  <c r="AA255" i="3"/>
  <c r="U255" i="3"/>
  <c r="O255" i="3"/>
  <c r="AA254" i="3"/>
  <c r="U254" i="3"/>
  <c r="O254" i="3"/>
  <c r="AA253" i="3"/>
  <c r="U253" i="3"/>
  <c r="O253" i="3"/>
  <c r="AA252" i="3"/>
  <c r="U252" i="3"/>
  <c r="O252" i="3"/>
  <c r="AA251" i="3"/>
  <c r="U251" i="3"/>
  <c r="O251" i="3"/>
  <c r="AA250" i="3"/>
  <c r="U250" i="3"/>
  <c r="O250" i="3"/>
  <c r="AA249" i="3"/>
  <c r="U249" i="3"/>
  <c r="O249" i="3"/>
  <c r="AA248" i="3"/>
  <c r="U248" i="3"/>
  <c r="O248" i="3"/>
  <c r="AA247" i="3"/>
  <c r="U247" i="3"/>
  <c r="O247" i="3"/>
  <c r="AA246" i="3"/>
  <c r="U246" i="3"/>
  <c r="O246" i="3"/>
  <c r="AA245" i="3"/>
  <c r="U245" i="3"/>
  <c r="O245" i="3"/>
  <c r="AA244" i="3"/>
  <c r="U244" i="3"/>
  <c r="O244" i="3"/>
  <c r="AA243" i="3"/>
  <c r="U243" i="3"/>
  <c r="O243" i="3"/>
  <c r="AA242" i="3"/>
  <c r="U242" i="3"/>
  <c r="O242" i="3"/>
  <c r="AA241" i="3"/>
  <c r="U241" i="3"/>
  <c r="O241" i="3"/>
  <c r="AA240" i="3"/>
  <c r="U240" i="3"/>
  <c r="O240" i="3"/>
  <c r="AA239" i="3"/>
  <c r="U239" i="3"/>
  <c r="O239" i="3"/>
  <c r="AA238" i="3"/>
  <c r="U238" i="3"/>
  <c r="O238" i="3"/>
  <c r="AA237" i="3"/>
  <c r="U237" i="3"/>
  <c r="O237" i="3"/>
  <c r="AA236" i="3"/>
  <c r="U236" i="3"/>
  <c r="O236" i="3"/>
  <c r="AA235" i="3"/>
  <c r="U235" i="3"/>
  <c r="O235" i="3"/>
  <c r="AA234" i="3"/>
  <c r="U234" i="3"/>
  <c r="O234" i="3"/>
  <c r="AA233" i="3"/>
  <c r="U233" i="3"/>
  <c r="O233" i="3"/>
  <c r="AA232" i="3"/>
  <c r="U232" i="3"/>
  <c r="O232" i="3"/>
  <c r="AA231" i="3"/>
  <c r="U231" i="3"/>
  <c r="O231" i="3"/>
  <c r="AA230" i="3"/>
  <c r="U230" i="3"/>
  <c r="O230" i="3"/>
  <c r="AA229" i="3"/>
  <c r="U229" i="3"/>
  <c r="O229" i="3"/>
  <c r="AA228" i="3"/>
  <c r="U228" i="3"/>
  <c r="O228" i="3"/>
  <c r="AA227" i="3"/>
  <c r="U227" i="3"/>
  <c r="O227" i="3"/>
  <c r="AA226" i="3"/>
  <c r="U226" i="3"/>
  <c r="O226" i="3"/>
  <c r="AA225" i="3"/>
  <c r="U225" i="3"/>
  <c r="O225" i="3"/>
  <c r="AA224" i="3"/>
  <c r="U224" i="3"/>
  <c r="O224" i="3"/>
  <c r="AA223" i="3"/>
  <c r="U223" i="3"/>
  <c r="O223" i="3"/>
  <c r="AA222" i="3"/>
  <c r="U222" i="3"/>
  <c r="O222" i="3"/>
  <c r="AA221" i="3"/>
  <c r="U221" i="3"/>
  <c r="O221" i="3"/>
  <c r="AA220" i="3"/>
  <c r="U220" i="3"/>
  <c r="O220" i="3"/>
  <c r="AA219" i="3"/>
  <c r="U219" i="3"/>
  <c r="O219" i="3"/>
  <c r="AA218" i="3"/>
  <c r="U218" i="3"/>
  <c r="O218" i="3"/>
  <c r="AA217" i="3"/>
  <c r="U217" i="3"/>
  <c r="O217" i="3"/>
  <c r="AA216" i="3"/>
  <c r="U216" i="3"/>
  <c r="O216" i="3"/>
  <c r="AA215" i="3"/>
  <c r="U215" i="3"/>
  <c r="O215" i="3"/>
  <c r="AA214" i="3"/>
  <c r="U214" i="3"/>
  <c r="O214" i="3"/>
  <c r="AA213" i="3"/>
  <c r="U213" i="3"/>
  <c r="O213" i="3"/>
  <c r="AA212" i="3"/>
  <c r="U212" i="3"/>
  <c r="O212" i="3"/>
  <c r="AA211" i="3"/>
  <c r="U211" i="3"/>
  <c r="O211" i="3"/>
  <c r="AA210" i="3"/>
  <c r="U210" i="3"/>
  <c r="O210" i="3"/>
  <c r="AA209" i="3"/>
  <c r="U209" i="3"/>
  <c r="O209" i="3"/>
  <c r="AA208" i="3"/>
  <c r="U208" i="3"/>
  <c r="O208" i="3"/>
  <c r="AA207" i="3"/>
  <c r="U207" i="3"/>
  <c r="O207" i="3"/>
  <c r="AA206" i="3"/>
  <c r="U206" i="3"/>
  <c r="O206" i="3"/>
  <c r="AA205" i="3"/>
  <c r="U205" i="3"/>
  <c r="O205" i="3"/>
  <c r="AA204" i="3"/>
  <c r="U204" i="3"/>
  <c r="O204" i="3"/>
  <c r="AA203" i="3"/>
  <c r="U203" i="3"/>
  <c r="O203" i="3"/>
  <c r="AA202" i="3"/>
  <c r="U202" i="3"/>
  <c r="O202" i="3"/>
  <c r="AA201" i="3"/>
  <c r="U201" i="3"/>
  <c r="O201" i="3"/>
  <c r="AA200" i="3"/>
  <c r="U200" i="3"/>
  <c r="O200" i="3"/>
  <c r="AA199" i="3"/>
  <c r="U199" i="3"/>
  <c r="O199" i="3"/>
  <c r="AA198" i="3"/>
  <c r="U198" i="3"/>
  <c r="O198" i="3"/>
  <c r="AA197" i="3"/>
  <c r="U197" i="3"/>
  <c r="O197" i="3"/>
  <c r="AA196" i="3"/>
  <c r="U196" i="3"/>
  <c r="O196" i="3"/>
  <c r="AA195" i="3"/>
  <c r="U195" i="3"/>
  <c r="O195" i="3"/>
  <c r="AA194" i="3"/>
  <c r="U194" i="3"/>
  <c r="O194" i="3"/>
  <c r="AA193" i="3"/>
  <c r="U193" i="3"/>
  <c r="O193" i="3"/>
  <c r="AA192" i="3"/>
  <c r="U192" i="3"/>
  <c r="O192" i="3"/>
  <c r="AA191" i="3"/>
  <c r="U191" i="3"/>
  <c r="O191" i="3"/>
  <c r="AA190" i="3"/>
  <c r="U190" i="3"/>
  <c r="O190" i="3"/>
  <c r="AA189" i="3"/>
  <c r="U189" i="3"/>
  <c r="O189" i="3"/>
  <c r="AA188" i="3"/>
  <c r="U188" i="3"/>
  <c r="O188" i="3"/>
  <c r="AA187" i="3"/>
  <c r="U187" i="3"/>
  <c r="O187" i="3"/>
  <c r="AA186" i="3"/>
  <c r="U186" i="3"/>
  <c r="O186" i="3"/>
  <c r="AA185" i="3"/>
  <c r="U185" i="3"/>
  <c r="O185" i="3"/>
  <c r="AA184" i="3"/>
  <c r="U184" i="3"/>
  <c r="O184" i="3"/>
  <c r="AA183" i="3"/>
  <c r="U183" i="3"/>
  <c r="O183" i="3"/>
  <c r="AA182" i="3"/>
  <c r="U182" i="3"/>
  <c r="O182" i="3"/>
  <c r="AA181" i="3"/>
  <c r="U181" i="3"/>
  <c r="O181" i="3"/>
  <c r="AA180" i="3"/>
  <c r="U180" i="3"/>
  <c r="O180" i="3"/>
  <c r="AA179" i="3"/>
  <c r="U179" i="3"/>
  <c r="O179" i="3"/>
  <c r="AA178" i="3"/>
  <c r="U178" i="3"/>
  <c r="O178" i="3"/>
  <c r="AA177" i="3"/>
  <c r="U177" i="3"/>
  <c r="O177" i="3"/>
  <c r="AA176" i="3"/>
  <c r="U176" i="3"/>
  <c r="O176" i="3"/>
  <c r="AA175" i="3"/>
  <c r="U175" i="3"/>
  <c r="O175" i="3"/>
  <c r="AA174" i="3"/>
  <c r="U174" i="3"/>
  <c r="O174" i="3"/>
  <c r="AA173" i="3"/>
  <c r="U173" i="3"/>
  <c r="O173" i="3"/>
  <c r="AA172" i="3"/>
  <c r="U172" i="3"/>
  <c r="O172" i="3"/>
  <c r="AA171" i="3"/>
  <c r="U171" i="3"/>
  <c r="O171" i="3"/>
  <c r="AA170" i="3"/>
  <c r="U170" i="3"/>
  <c r="O170" i="3"/>
  <c r="AA169" i="3"/>
  <c r="U169" i="3"/>
  <c r="O169" i="3"/>
  <c r="AA168" i="3"/>
  <c r="U168" i="3"/>
  <c r="O168" i="3"/>
  <c r="AA167" i="3"/>
  <c r="U167" i="3"/>
  <c r="O167" i="3"/>
  <c r="AA166" i="3"/>
  <c r="U166" i="3"/>
  <c r="O166" i="3"/>
  <c r="AA165" i="3"/>
  <c r="U165" i="3"/>
  <c r="O165" i="3"/>
  <c r="AA164" i="3"/>
  <c r="U164" i="3"/>
  <c r="O164" i="3"/>
  <c r="AA163" i="3"/>
  <c r="U163" i="3"/>
  <c r="O163" i="3"/>
  <c r="AA162" i="3"/>
  <c r="U162" i="3"/>
  <c r="O162" i="3"/>
  <c r="AA161" i="3"/>
  <c r="U161" i="3"/>
  <c r="O161" i="3"/>
  <c r="AA160" i="3"/>
  <c r="U160" i="3"/>
  <c r="O160" i="3"/>
  <c r="AA159" i="3"/>
  <c r="U159" i="3"/>
  <c r="O159" i="3"/>
  <c r="AA158" i="3"/>
  <c r="U158" i="3"/>
  <c r="O158" i="3"/>
  <c r="AA157" i="3"/>
  <c r="U157" i="3"/>
  <c r="O157" i="3"/>
  <c r="AA156" i="3"/>
  <c r="U156" i="3"/>
  <c r="O156" i="3"/>
  <c r="AA155" i="3"/>
  <c r="U155" i="3"/>
  <c r="O155" i="3"/>
  <c r="AA154" i="3"/>
  <c r="U154" i="3"/>
  <c r="O154" i="3"/>
  <c r="AA153" i="3"/>
  <c r="U153" i="3"/>
  <c r="O153" i="3"/>
  <c r="AA152" i="3"/>
  <c r="U152" i="3"/>
  <c r="O152" i="3"/>
  <c r="AA151" i="3"/>
  <c r="U151" i="3"/>
  <c r="O151" i="3"/>
  <c r="AA150" i="3"/>
  <c r="U150" i="3"/>
  <c r="O150" i="3"/>
  <c r="AA149" i="3"/>
  <c r="U149" i="3"/>
  <c r="O149" i="3"/>
  <c r="AA148" i="3"/>
  <c r="U148" i="3"/>
  <c r="O148" i="3"/>
  <c r="AA147" i="3"/>
  <c r="U147" i="3"/>
  <c r="O147" i="3"/>
  <c r="AA146" i="3"/>
  <c r="U146" i="3"/>
  <c r="O146" i="3"/>
  <c r="AA145" i="3"/>
  <c r="U145" i="3"/>
  <c r="O145" i="3"/>
  <c r="AA144" i="3"/>
  <c r="U144" i="3"/>
  <c r="O144" i="3"/>
  <c r="AA143" i="3"/>
  <c r="U143" i="3"/>
  <c r="O143" i="3"/>
  <c r="AA142" i="3"/>
  <c r="U142" i="3"/>
  <c r="O142" i="3"/>
  <c r="AA141" i="3"/>
  <c r="U141" i="3"/>
  <c r="O141" i="3"/>
  <c r="AA140" i="3"/>
  <c r="U140" i="3"/>
  <c r="O140" i="3"/>
  <c r="AA139" i="3"/>
  <c r="U139" i="3"/>
  <c r="O139" i="3"/>
  <c r="AA138" i="3"/>
  <c r="U138" i="3"/>
  <c r="O138" i="3"/>
  <c r="AA137" i="3"/>
  <c r="U137" i="3"/>
  <c r="O137" i="3"/>
  <c r="AA136" i="3"/>
  <c r="U136" i="3"/>
  <c r="O136" i="3"/>
  <c r="AA135" i="3"/>
  <c r="U135" i="3"/>
  <c r="O135" i="3"/>
  <c r="AA134" i="3"/>
  <c r="U134" i="3"/>
  <c r="O134" i="3"/>
  <c r="AA133" i="3"/>
  <c r="U133" i="3"/>
  <c r="O133" i="3"/>
  <c r="AA132" i="3"/>
  <c r="U132" i="3"/>
  <c r="O132" i="3"/>
  <c r="AA131" i="3"/>
  <c r="U131" i="3"/>
  <c r="O131" i="3"/>
  <c r="AA130" i="3"/>
  <c r="U130" i="3"/>
  <c r="O130" i="3"/>
  <c r="AA129" i="3"/>
  <c r="U129" i="3"/>
  <c r="O129" i="3"/>
  <c r="AA128" i="3"/>
  <c r="U128" i="3"/>
  <c r="O128" i="3"/>
  <c r="AA127" i="3"/>
  <c r="U127" i="3"/>
  <c r="O127" i="3"/>
  <c r="AA126" i="3"/>
  <c r="U126" i="3"/>
  <c r="O126" i="3"/>
  <c r="AA125" i="3"/>
  <c r="U125" i="3"/>
  <c r="O125" i="3"/>
  <c r="AA124" i="3"/>
  <c r="U124" i="3"/>
  <c r="O124" i="3"/>
  <c r="AA123" i="3"/>
  <c r="U123" i="3"/>
  <c r="O123" i="3"/>
  <c r="AA122" i="3"/>
  <c r="U122" i="3"/>
  <c r="O122" i="3"/>
  <c r="AA121" i="3"/>
  <c r="U121" i="3"/>
  <c r="O121" i="3"/>
  <c r="AA120" i="3"/>
  <c r="U120" i="3"/>
  <c r="O120" i="3"/>
  <c r="AA119" i="3"/>
  <c r="U119" i="3"/>
  <c r="O119" i="3"/>
  <c r="AA118" i="3"/>
  <c r="U118" i="3"/>
  <c r="O118" i="3"/>
  <c r="AA117" i="3"/>
  <c r="U117" i="3"/>
  <c r="O117" i="3"/>
  <c r="AA116" i="3"/>
  <c r="U116" i="3"/>
  <c r="O116" i="3"/>
  <c r="AA115" i="3"/>
  <c r="U115" i="3"/>
  <c r="O115" i="3"/>
  <c r="AA114" i="3"/>
  <c r="U114" i="3"/>
  <c r="O114" i="3"/>
  <c r="AA113" i="3"/>
  <c r="U113" i="3"/>
  <c r="O113" i="3"/>
  <c r="AA112" i="3"/>
  <c r="U112" i="3"/>
  <c r="O112" i="3"/>
  <c r="AA111" i="3"/>
  <c r="U111" i="3"/>
  <c r="O111" i="3"/>
  <c r="AA110" i="3"/>
  <c r="U110" i="3"/>
  <c r="O110" i="3"/>
  <c r="AA109" i="3"/>
  <c r="U109" i="3"/>
  <c r="O109" i="3"/>
  <c r="AA108" i="3"/>
  <c r="U108" i="3"/>
  <c r="O108" i="3"/>
  <c r="AA107" i="3"/>
  <c r="U107" i="3"/>
  <c r="O107" i="3"/>
  <c r="AA106" i="3"/>
  <c r="U106" i="3"/>
  <c r="O106" i="3"/>
  <c r="AA105" i="3"/>
  <c r="U105" i="3"/>
  <c r="O105" i="3"/>
  <c r="AA104" i="3"/>
  <c r="U104" i="3"/>
  <c r="O104" i="3"/>
  <c r="AA103" i="3"/>
  <c r="U103" i="3"/>
  <c r="O103" i="3"/>
  <c r="AA102" i="3"/>
  <c r="U102" i="3"/>
  <c r="O102" i="3"/>
  <c r="AA101" i="3"/>
  <c r="U101" i="3"/>
  <c r="O101" i="3"/>
  <c r="AA100" i="3"/>
  <c r="U100" i="3"/>
  <c r="O100" i="3"/>
  <c r="AA99" i="3"/>
  <c r="U99" i="3"/>
  <c r="O99" i="3"/>
  <c r="AA98" i="3"/>
  <c r="U98" i="3"/>
  <c r="O98" i="3"/>
  <c r="AA97" i="3"/>
  <c r="U97" i="3"/>
  <c r="O97" i="3"/>
  <c r="AA96" i="3"/>
  <c r="U96" i="3"/>
  <c r="O96" i="3"/>
  <c r="AA95" i="3"/>
  <c r="U95" i="3"/>
  <c r="O95" i="3"/>
  <c r="AA94" i="3"/>
  <c r="U94" i="3"/>
  <c r="O94" i="3"/>
  <c r="AA93" i="3"/>
  <c r="U93" i="3"/>
  <c r="O93" i="3"/>
  <c r="AA92" i="3"/>
  <c r="U92" i="3"/>
  <c r="O92" i="3"/>
  <c r="AA91" i="3"/>
  <c r="U91" i="3"/>
  <c r="O91" i="3"/>
  <c r="AA90" i="3"/>
  <c r="U90" i="3"/>
  <c r="O90" i="3"/>
  <c r="AA89" i="3"/>
  <c r="U89" i="3"/>
  <c r="O89" i="3"/>
  <c r="AA88" i="3"/>
  <c r="U88" i="3"/>
  <c r="O88" i="3"/>
  <c r="AA87" i="3"/>
  <c r="U87" i="3"/>
  <c r="O87" i="3"/>
  <c r="AA86" i="3"/>
  <c r="U86" i="3"/>
  <c r="O86" i="3"/>
  <c r="AA85" i="3"/>
  <c r="U85" i="3"/>
  <c r="O85" i="3"/>
  <c r="AA84" i="3"/>
  <c r="U84" i="3"/>
  <c r="O84" i="3"/>
  <c r="AA83" i="3"/>
  <c r="U83" i="3"/>
  <c r="O83" i="3"/>
  <c r="AA82" i="3"/>
  <c r="U82" i="3"/>
  <c r="O82" i="3"/>
  <c r="AA81" i="3"/>
  <c r="U81" i="3"/>
  <c r="O81" i="3"/>
  <c r="AA80" i="3"/>
  <c r="U80" i="3"/>
  <c r="O80" i="3"/>
  <c r="AA79" i="3"/>
  <c r="U79" i="3"/>
  <c r="O79" i="3"/>
  <c r="AA78" i="3"/>
  <c r="U78" i="3"/>
  <c r="O78" i="3"/>
  <c r="AA77" i="3"/>
  <c r="U77" i="3"/>
  <c r="O77" i="3"/>
  <c r="AA76" i="3"/>
  <c r="U76" i="3"/>
  <c r="O76" i="3"/>
  <c r="AA75" i="3"/>
  <c r="U75" i="3"/>
  <c r="O75" i="3"/>
  <c r="AA74" i="3"/>
  <c r="U74" i="3"/>
  <c r="O74" i="3"/>
  <c r="AA73" i="3"/>
  <c r="U73" i="3"/>
  <c r="O73" i="3"/>
  <c r="AA72" i="3"/>
  <c r="U72" i="3"/>
  <c r="O72" i="3"/>
  <c r="AA71" i="3"/>
  <c r="U71" i="3"/>
  <c r="O71" i="3"/>
  <c r="AA70" i="3"/>
  <c r="U70" i="3"/>
  <c r="O70" i="3"/>
  <c r="AA69" i="3"/>
  <c r="U69" i="3"/>
  <c r="O69" i="3"/>
  <c r="AA68" i="3"/>
  <c r="U68" i="3"/>
  <c r="O68" i="3"/>
  <c r="AA67" i="3"/>
  <c r="U67" i="3"/>
  <c r="O67" i="3"/>
  <c r="AA66" i="3"/>
  <c r="U66" i="3"/>
  <c r="O66" i="3"/>
  <c r="AA65" i="3"/>
  <c r="U65" i="3"/>
  <c r="O65" i="3"/>
  <c r="AA64" i="3"/>
  <c r="U64" i="3"/>
  <c r="O64" i="3"/>
  <c r="AA63" i="3"/>
  <c r="U63" i="3"/>
  <c r="O63" i="3"/>
  <c r="AA62" i="3"/>
  <c r="U62" i="3"/>
  <c r="O62" i="3"/>
  <c r="AA61" i="3"/>
  <c r="U61" i="3"/>
  <c r="O61" i="3"/>
  <c r="AA60" i="3"/>
  <c r="U60" i="3"/>
  <c r="O60" i="3"/>
  <c r="AA59" i="3"/>
  <c r="U59" i="3"/>
  <c r="O59" i="3"/>
  <c r="AA58" i="3"/>
  <c r="U58" i="3"/>
  <c r="O58" i="3"/>
  <c r="AA57" i="3"/>
  <c r="U57" i="3"/>
  <c r="O57" i="3"/>
  <c r="AA56" i="3"/>
  <c r="U56" i="3"/>
  <c r="O56" i="3"/>
  <c r="AA55" i="3"/>
  <c r="U55" i="3"/>
  <c r="O55" i="3"/>
  <c r="AA54" i="3"/>
  <c r="U54" i="3"/>
  <c r="O54" i="3"/>
  <c r="AA53" i="3"/>
  <c r="U53" i="3"/>
  <c r="O53" i="3"/>
  <c r="AA52" i="3"/>
  <c r="U52" i="3"/>
  <c r="O52" i="3"/>
  <c r="AA51" i="3"/>
  <c r="U51" i="3"/>
  <c r="O51" i="3"/>
  <c r="AA50" i="3"/>
  <c r="U50" i="3"/>
  <c r="O50" i="3"/>
  <c r="AA49" i="3"/>
  <c r="U49" i="3"/>
  <c r="O49" i="3"/>
  <c r="AA48" i="3"/>
  <c r="U48" i="3"/>
  <c r="O48" i="3"/>
  <c r="AA47" i="3"/>
  <c r="U47" i="3"/>
  <c r="O47" i="3"/>
  <c r="AA46" i="3"/>
  <c r="U46" i="3"/>
  <c r="O46" i="3"/>
  <c r="AA45" i="3"/>
  <c r="U45" i="3"/>
  <c r="O45" i="3"/>
  <c r="AA44" i="3"/>
  <c r="U44" i="3"/>
  <c r="O44" i="3"/>
  <c r="AA43" i="3"/>
  <c r="U43" i="3"/>
  <c r="O43" i="3"/>
  <c r="AA42" i="3"/>
  <c r="U42" i="3"/>
  <c r="O42" i="3"/>
  <c r="AA41" i="3"/>
  <c r="U41" i="3"/>
  <c r="O41" i="3"/>
  <c r="AA40" i="3"/>
  <c r="U40" i="3"/>
  <c r="O40" i="3"/>
  <c r="AA39" i="3"/>
  <c r="U39" i="3"/>
  <c r="O39" i="3"/>
  <c r="AA38" i="3"/>
  <c r="U38" i="3"/>
  <c r="O38" i="3"/>
  <c r="AA37" i="3"/>
  <c r="U37" i="3"/>
  <c r="O37" i="3"/>
  <c r="AA36" i="3"/>
  <c r="U36" i="3"/>
  <c r="O36" i="3"/>
  <c r="AA35" i="3"/>
  <c r="U35" i="3"/>
  <c r="O35" i="3"/>
  <c r="AA34" i="3"/>
  <c r="U34" i="3"/>
  <c r="O34" i="3"/>
  <c r="AA33" i="3"/>
  <c r="U33" i="3"/>
  <c r="O33" i="3"/>
  <c r="AA32" i="3"/>
  <c r="U32" i="3"/>
  <c r="O32" i="3"/>
  <c r="AA31" i="3"/>
  <c r="U31" i="3"/>
  <c r="O31" i="3"/>
  <c r="AA30" i="3"/>
  <c r="U30" i="3"/>
  <c r="O30" i="3"/>
  <c r="AA29" i="3"/>
  <c r="U29" i="3"/>
  <c r="O29" i="3"/>
  <c r="AA28" i="3"/>
  <c r="U28" i="3"/>
  <c r="O28" i="3"/>
  <c r="AA27" i="3"/>
  <c r="U27" i="3"/>
  <c r="O27" i="3"/>
  <c r="AA26" i="3"/>
  <c r="U26" i="3"/>
  <c r="O26" i="3"/>
  <c r="AA25" i="3"/>
  <c r="U25" i="3"/>
  <c r="O25" i="3"/>
  <c r="AA24" i="3"/>
  <c r="U24" i="3"/>
  <c r="O24" i="3"/>
  <c r="AA23" i="3"/>
  <c r="U23" i="3"/>
  <c r="O23" i="3"/>
  <c r="AA22" i="3"/>
  <c r="U22" i="3"/>
  <c r="O22" i="3"/>
  <c r="AA21" i="3"/>
  <c r="U21" i="3"/>
  <c r="O21" i="3"/>
  <c r="AA20" i="3"/>
  <c r="U20" i="3"/>
  <c r="O20" i="3"/>
  <c r="AA19" i="3"/>
  <c r="U19" i="3"/>
  <c r="O19" i="3"/>
  <c r="AA18" i="3"/>
  <c r="U18" i="3"/>
  <c r="O18" i="3"/>
  <c r="AA17" i="3"/>
  <c r="U17" i="3"/>
  <c r="O17" i="3"/>
  <c r="AA16" i="3"/>
  <c r="U16" i="3"/>
  <c r="O16" i="3"/>
  <c r="AA15" i="3"/>
  <c r="U15" i="3"/>
  <c r="O15" i="3"/>
  <c r="AA14" i="3"/>
  <c r="U14" i="3"/>
  <c r="O14" i="3"/>
  <c r="AA13" i="3"/>
  <c r="U13" i="3"/>
  <c r="O13" i="3"/>
  <c r="AA12" i="3"/>
  <c r="U12" i="3"/>
  <c r="O12" i="3"/>
  <c r="AA11" i="3"/>
  <c r="U11" i="3"/>
  <c r="O11" i="3"/>
  <c r="AA10" i="3"/>
  <c r="U10" i="3"/>
  <c r="O10" i="3"/>
  <c r="AA9" i="3"/>
  <c r="U9" i="3"/>
  <c r="O9" i="3"/>
  <c r="AA8" i="3"/>
  <c r="U8" i="3"/>
  <c r="O8" i="3"/>
  <c r="AA7" i="3"/>
  <c r="U7" i="3"/>
  <c r="O7" i="3"/>
  <c r="AA6" i="3"/>
  <c r="U6" i="3"/>
  <c r="O6" i="3"/>
  <c r="AA5" i="3"/>
  <c r="U5" i="3"/>
  <c r="O5" i="3"/>
  <c r="AA4" i="3"/>
  <c r="U4" i="3"/>
  <c r="O4" i="3"/>
  <c r="AA3" i="3"/>
  <c r="U3" i="3"/>
  <c r="O3" i="3"/>
  <c r="AA2" i="3"/>
  <c r="U2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O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Formula: (Return_To_Service - Repair_Start) * 24</t>
        </r>
      </text>
    </comment>
    <comment ref="U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Formula: 1 if Event_Type is FAILURE or TRIP; else 0</t>
        </r>
      </text>
    </comment>
    <comment ref="AA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Formula: Component-Location-Event-Agent-Response</t>
        </r>
      </text>
    </comment>
  </commentList>
</comments>
</file>

<file path=xl/sharedStrings.xml><?xml version="1.0" encoding="utf-8"?>
<sst xmlns="http://schemas.openxmlformats.org/spreadsheetml/2006/main" count="6733" uniqueCount="1409">
  <si>
    <t>WO_ID</t>
  </si>
  <si>
    <t>WO_Date</t>
  </si>
  <si>
    <t>Equipment</t>
  </si>
  <si>
    <t>Notes</t>
  </si>
  <si>
    <t>Start</t>
  </si>
  <si>
    <t>Finish</t>
  </si>
  <si>
    <t>Tech</t>
  </si>
  <si>
    <t>Area</t>
  </si>
  <si>
    <t>WO-550085</t>
  </si>
  <si>
    <t>2024-06-27</t>
  </si>
  <si>
    <t>110-p-009</t>
  </si>
  <si>
    <t>checked; misalignment / coupling wear; fixed</t>
  </si>
  <si>
    <t>2024-06-28 00:19</t>
  </si>
  <si>
    <t>2024-06-28 09:07</t>
  </si>
  <si>
    <t>Wastewater</t>
  </si>
  <si>
    <t>WO-550031</t>
  </si>
  <si>
    <t>2023-07-06</t>
  </si>
  <si>
    <t>TX-503</t>
  </si>
  <si>
    <t>Low lube oil pressure alarm; filter found dirty; cleaned and replaced element.</t>
  </si>
  <si>
    <t>2023-07-07 00:24</t>
  </si>
  <si>
    <t>Fajar</t>
  </si>
  <si>
    <t>Area-200</t>
  </si>
  <si>
    <t>WO-550173</t>
  </si>
  <si>
    <t>2025-11-27</t>
  </si>
  <si>
    <t>TX506</t>
  </si>
  <si>
    <t>trip; reset ok</t>
  </si>
  <si>
    <t>2025-11-27 07:48</t>
  </si>
  <si>
    <t>WO-550070</t>
  </si>
  <si>
    <t>2024-05-03</t>
  </si>
  <si>
    <t>LT-1723</t>
  </si>
  <si>
    <t>trip - impulse issue; reset attempted</t>
  </si>
  <si>
    <t>2024-05-03 19:47</t>
  </si>
  <si>
    <t>2024-05-03 23:14</t>
  </si>
  <si>
    <t>Budi</t>
  </si>
  <si>
    <t>Utilities</t>
  </si>
  <si>
    <t>WO-650166</t>
  </si>
  <si>
    <t>2024-09-23</t>
  </si>
  <si>
    <t>CV-403</t>
  </si>
  <si>
    <t>routine inspection done</t>
  </si>
  <si>
    <t>2024-09-23 13:00</t>
  </si>
  <si>
    <t>2024-09-23 15:16</t>
  </si>
  <si>
    <t>Area-100</t>
  </si>
  <si>
    <t>WO-650080</t>
  </si>
  <si>
    <t>2023-10-15</t>
  </si>
  <si>
    <t>PMP-109</t>
  </si>
  <si>
    <t>Adjusted and verified</t>
  </si>
  <si>
    <t>2023-10-15 11:56</t>
  </si>
  <si>
    <t>Area-300</t>
  </si>
  <si>
    <t>WO-550118</t>
  </si>
  <si>
    <t>2024-12-25</t>
  </si>
  <si>
    <t>TT 1566</t>
  </si>
  <si>
    <t>Intermittent signal noise; HART comms errors; checked grounding/shield.</t>
  </si>
  <si>
    <t>2024-12-25 21:31</t>
  </si>
  <si>
    <t>2024-12-25 22:44</t>
  </si>
  <si>
    <t>WO-550081</t>
  </si>
  <si>
    <t>2024-06-04</t>
  </si>
  <si>
    <t>205C009B</t>
  </si>
  <si>
    <t>trip - lube issue; reset attempted</t>
  </si>
  <si>
    <t>2024-06-04 02:36</t>
  </si>
  <si>
    <t>2024-06-04 07:32</t>
  </si>
  <si>
    <t>Area-400</t>
  </si>
  <si>
    <t>WO-550152</t>
  </si>
  <si>
    <t>2025-08-11</t>
  </si>
  <si>
    <t>401-FV-316</t>
  </si>
  <si>
    <t>checked; travel sensor / positioner fault; fixed</t>
  </si>
  <si>
    <t>2025-08-11 01:59</t>
  </si>
  <si>
    <t>2025-08-11 05:45</t>
  </si>
  <si>
    <t>WO-550039</t>
  </si>
  <si>
    <t>2023-10-05</t>
  </si>
  <si>
    <t>PMP-104</t>
  </si>
  <si>
    <t>Bearing noise audible; grease contaminated; bearings replaced.</t>
  </si>
  <si>
    <t>2023-10-05 08:13</t>
  </si>
  <si>
    <t>2023-10-05 16:43</t>
  </si>
  <si>
    <t>WO-550133</t>
  </si>
  <si>
    <t>2025-05-02</t>
  </si>
  <si>
    <t>103-p-006</t>
  </si>
  <si>
    <t>Unit tripped on high temperature; reset unsuccessful; cooler suspected fouling.</t>
  </si>
  <si>
    <t>2025-05-02 02:17</t>
  </si>
  <si>
    <t>2025-05-02 05:37</t>
  </si>
  <si>
    <t>WO-550120</t>
  </si>
  <si>
    <t>2025-01-05</t>
  </si>
  <si>
    <t>TX505</t>
  </si>
  <si>
    <t>abnormal; repaired</t>
  </si>
  <si>
    <t>2025-01-05 05:50</t>
  </si>
  <si>
    <t>2025-01-05 07:26</t>
  </si>
  <si>
    <t>WO-550002</t>
  </si>
  <si>
    <t>2023-01-24</t>
  </si>
  <si>
    <t>PMP-107</t>
  </si>
  <si>
    <t>trip - impeller issue; reset attempted</t>
  </si>
  <si>
    <t>2023-01-24 19:25</t>
  </si>
  <si>
    <t>2023-01-25 04:44</t>
  </si>
  <si>
    <t>WO-650209</t>
  </si>
  <si>
    <t>2025-02-28</t>
  </si>
  <si>
    <t>PMP109</t>
  </si>
  <si>
    <t>PM lube; vibration elevated; route follow-up</t>
  </si>
  <si>
    <t>2025-02-28 14:00</t>
  </si>
  <si>
    <t>2025-02-28 15:49</t>
  </si>
  <si>
    <t>WO-550073</t>
  </si>
  <si>
    <t>2024-05-10</t>
  </si>
  <si>
    <t>111P006A</t>
  </si>
  <si>
    <t>checked; cavitation damage; fixed</t>
  </si>
  <si>
    <t>2024-05-10 19:54</t>
  </si>
  <si>
    <t>2024-05-11 00:40</t>
  </si>
  <si>
    <t>WO-550080</t>
  </si>
  <si>
    <t>2024-06-02</t>
  </si>
  <si>
    <t>111 P 006A</t>
  </si>
  <si>
    <t>2024-06-02 10:31</t>
  </si>
  <si>
    <t>2024-06-02 18:01</t>
  </si>
  <si>
    <t>WO-550005</t>
  </si>
  <si>
    <t>2023-01-31</t>
  </si>
  <si>
    <t>104-P-002</t>
  </si>
  <si>
    <t>checked; mechanical seal leakage; fixed</t>
  </si>
  <si>
    <t>2023-01-31 21:59</t>
  </si>
  <si>
    <t>WO-550097</t>
  </si>
  <si>
    <t>2024-09-01</t>
  </si>
  <si>
    <t>408 FV 724</t>
  </si>
  <si>
    <t>inspected; ok after</t>
  </si>
  <si>
    <t>2024-09-01 17:07</t>
  </si>
  <si>
    <t>2024-09-01 20:19</t>
  </si>
  <si>
    <t>WO-650086</t>
  </si>
  <si>
    <t>2023-11-10</t>
  </si>
  <si>
    <t>inspection completed</t>
  </si>
  <si>
    <t>2023-11-10 12:00</t>
  </si>
  <si>
    <t>2023-11-10 12:55</t>
  </si>
  <si>
    <t>WO-650254</t>
  </si>
  <si>
    <t>2025-10-31</t>
  </si>
  <si>
    <t>109-p-002</t>
  </si>
  <si>
    <t>routine seal flush check done</t>
  </si>
  <si>
    <t>2025-10-31 09:00</t>
  </si>
  <si>
    <t>WO-650139</t>
  </si>
  <si>
    <t>2024-06-21</t>
  </si>
  <si>
    <t>CMP-202</t>
  </si>
  <si>
    <t>Scheduled corrective work order</t>
  </si>
  <si>
    <t>2024-06-21 07:00</t>
  </si>
  <si>
    <t>2024-06-21 08:48</t>
  </si>
  <si>
    <t>WO-550168</t>
  </si>
  <si>
    <t>2025-11-06</t>
  </si>
  <si>
    <t>312 M 009</t>
  </si>
  <si>
    <t>2025-11-06 13:04</t>
  </si>
  <si>
    <t>2025-11-07 03:32</t>
  </si>
  <si>
    <t>WO-650066</t>
  </si>
  <si>
    <t>2023-08-29</t>
  </si>
  <si>
    <t>TX-502</t>
  </si>
  <si>
    <t>2023-08-29 14:08</t>
  </si>
  <si>
    <t>Agus</t>
  </si>
  <si>
    <t>WO-550167</t>
  </si>
  <si>
    <t>2025-10-29</t>
  </si>
  <si>
    <t>PMP-102B</t>
  </si>
  <si>
    <t>2025-10-29 18:32</t>
  </si>
  <si>
    <t>2025-10-30 00:54</t>
  </si>
  <si>
    <t>WO-550114</t>
  </si>
  <si>
    <t>2024-12-02</t>
  </si>
  <si>
    <t>204 C 005</t>
  </si>
  <si>
    <t>2024-12-02 14:58</t>
  </si>
  <si>
    <t>2024-12-02 19:41</t>
  </si>
  <si>
    <t>WO-550077</t>
  </si>
  <si>
    <t>2024-05-29</t>
  </si>
  <si>
    <t>109 P 002</t>
  </si>
  <si>
    <t>2024-05-29 23:21</t>
  </si>
  <si>
    <t>2024-05-30 12:04</t>
  </si>
  <si>
    <t>WO-650095</t>
  </si>
  <si>
    <t>2024-01-05</t>
  </si>
  <si>
    <t>113 P 004B</t>
  </si>
  <si>
    <t>2024-01-05 09:58</t>
  </si>
  <si>
    <t>WO-550123</t>
  </si>
  <si>
    <t>2025-01-30</t>
  </si>
  <si>
    <t>2025-01-30 21:22</t>
  </si>
  <si>
    <t>2025-01-30 23:59</t>
  </si>
  <si>
    <t>WO-550172</t>
  </si>
  <si>
    <t>TX-506</t>
  </si>
  <si>
    <t>2025-11-27 04:19</t>
  </si>
  <si>
    <t>2025-11-27 09:14</t>
  </si>
  <si>
    <t>WO-550105</t>
  </si>
  <si>
    <t>2024-10-15</t>
  </si>
  <si>
    <t>PMP-113B</t>
  </si>
  <si>
    <t>2024-10-15 04:27</t>
  </si>
  <si>
    <t>2024-10-15 07:14</t>
  </si>
  <si>
    <t>WO-550129</t>
  </si>
  <si>
    <t>2025-04-15</t>
  </si>
  <si>
    <t>114-p-003b</t>
  </si>
  <si>
    <t>2025-04-15 12:27</t>
  </si>
  <si>
    <t>2025-04-15 18:16</t>
  </si>
  <si>
    <t>WO-550157</t>
  </si>
  <si>
    <t>2025-09-19</t>
  </si>
  <si>
    <t>2025-09-19 23:48</t>
  </si>
  <si>
    <t>2025-09-20 05:13</t>
  </si>
  <si>
    <t>WO-550162</t>
  </si>
  <si>
    <t>2025-10-07</t>
  </si>
  <si>
    <t>107 P 001</t>
  </si>
  <si>
    <t>2025-10-07 16:47</t>
  </si>
  <si>
    <t>2025-10-07 20:25</t>
  </si>
  <si>
    <t>WO-650112</t>
  </si>
  <si>
    <t>2024-02-18</t>
  </si>
  <si>
    <t>310M004</t>
  </si>
  <si>
    <t>Cleaned and restored</t>
  </si>
  <si>
    <t>2024-02-18 12:00</t>
  </si>
  <si>
    <t>WO-650140</t>
  </si>
  <si>
    <t>2024-06-23</t>
  </si>
  <si>
    <t>CV401</t>
  </si>
  <si>
    <t>2024-06-23 11:00</t>
  </si>
  <si>
    <t>2024-06-23 12:09</t>
  </si>
  <si>
    <t>WO-550011</t>
  </si>
  <si>
    <t>2023-03-16</t>
  </si>
  <si>
    <t>FT-1270</t>
  </si>
  <si>
    <t>Valve oscillation reported; signature indicates stiction; packing adjusted.</t>
  </si>
  <si>
    <t>2023-03-16 15:59</t>
  </si>
  <si>
    <t>2023-03-16 19:02</t>
  </si>
  <si>
    <t>Tank Farm</t>
  </si>
  <si>
    <t>WO-550147</t>
  </si>
  <si>
    <t>2025-07-09</t>
  </si>
  <si>
    <t>112P001</t>
  </si>
  <si>
    <t>2025-07-09 17:16</t>
  </si>
  <si>
    <t>WO-550048</t>
  </si>
  <si>
    <t>2023-12-26</t>
  </si>
  <si>
    <t>205-c-009b</t>
  </si>
  <si>
    <t>2023-12-26 03:11</t>
  </si>
  <si>
    <t>2023-12-26 18:18</t>
  </si>
  <si>
    <t>WO-650232</t>
  </si>
  <si>
    <t>2025-07-19</t>
  </si>
  <si>
    <t>203-c-009</t>
  </si>
  <si>
    <t>PM oil change; no abnormality found</t>
  </si>
  <si>
    <t>2025-07-19 13:00</t>
  </si>
  <si>
    <t>2025-07-19 14:16</t>
  </si>
  <si>
    <t>WO-550004</t>
  </si>
  <si>
    <t>2023-01-30</t>
  </si>
  <si>
    <t>PMP101A</t>
  </si>
  <si>
    <t>trip - cavitation issue; reset attempted</t>
  </si>
  <si>
    <t>2023-01-30 18:12</t>
  </si>
  <si>
    <t>2023-01-30 23:22</t>
  </si>
  <si>
    <t>WO-550034</t>
  </si>
  <si>
    <t>2023-08-02</t>
  </si>
  <si>
    <t>FT 1794</t>
  </si>
  <si>
    <t>checked; impulse line plugging / restriction; fixed</t>
  </si>
  <si>
    <t>2023-08-02 00:46</t>
  </si>
  <si>
    <t>2023-08-02 03:20</t>
  </si>
  <si>
    <t>WO-550117</t>
  </si>
  <si>
    <t>2024-12-20</t>
  </si>
  <si>
    <t>110 P 009</t>
  </si>
  <si>
    <t>2024-12-20 06:51</t>
  </si>
  <si>
    <t>2024-12-20 15:39</t>
  </si>
  <si>
    <t>WO-650201</t>
  </si>
  <si>
    <t>2025-01-31</t>
  </si>
  <si>
    <t>111-p-006a</t>
  </si>
  <si>
    <t>PM inspection; ir scan indicates warm terminal; re-torqued</t>
  </si>
  <si>
    <t>2025-01-31 13:00</t>
  </si>
  <si>
    <t>2025-01-31 14:22</t>
  </si>
  <si>
    <t>WO-550180</t>
  </si>
  <si>
    <t>2025-12-31</t>
  </si>
  <si>
    <t>407-fv-851</t>
  </si>
  <si>
    <t>trip - travel issue; reset attempted</t>
  </si>
  <si>
    <t>2025-12-31 07:52</t>
  </si>
  <si>
    <t>2025-12-31 13:54</t>
  </si>
  <si>
    <t>WO-650106</t>
  </si>
  <si>
    <t>2024-02-01</t>
  </si>
  <si>
    <t>403 FV 584</t>
  </si>
  <si>
    <t>PM packing adjust; vibration elevated; route follow-up</t>
  </si>
  <si>
    <t>2024-02-01 07:00</t>
  </si>
  <si>
    <t>WO-650191</t>
  </si>
  <si>
    <t>2025-01-16</t>
  </si>
  <si>
    <t>106-p-003</t>
  </si>
  <si>
    <t>2025-01-16 14:00</t>
  </si>
  <si>
    <t>2025-01-16 15:03</t>
  </si>
  <si>
    <t>WO-550178</t>
  </si>
  <si>
    <t>2025-12-25</t>
  </si>
  <si>
    <t>308-m-001</t>
  </si>
  <si>
    <t>trip - current/voltage issue; reset attempted</t>
  </si>
  <si>
    <t>2025-12-25 01:37</t>
  </si>
  <si>
    <t>2025-12-25 03:48</t>
  </si>
  <si>
    <t>WO-550014</t>
  </si>
  <si>
    <t>2023-04-17</t>
  </si>
  <si>
    <t>310-M-004</t>
  </si>
  <si>
    <t>2023-04-17 21:55</t>
  </si>
  <si>
    <t>2023-04-18 04:01</t>
  </si>
  <si>
    <t>WO-550045</t>
  </si>
  <si>
    <t>2023-11-23</t>
  </si>
  <si>
    <t>MTR302</t>
  </si>
  <si>
    <t>checked; bearing failure; fixed</t>
  </si>
  <si>
    <t>2023-11-23 04:08</t>
  </si>
  <si>
    <t>2023-11-23 10:01</t>
  </si>
  <si>
    <t>WO-550026</t>
  </si>
  <si>
    <t>2023-06-20</t>
  </si>
  <si>
    <t>CV-401</t>
  </si>
  <si>
    <t>checked; packing leakage; fixed</t>
  </si>
  <si>
    <t>2023-06-20 14:26</t>
  </si>
  <si>
    <t>WO-550154</t>
  </si>
  <si>
    <t>2025-08-21</t>
  </si>
  <si>
    <t>CV-408</t>
  </si>
  <si>
    <t>2025-08-21 06:14</t>
  </si>
  <si>
    <t>2025-08-21 09:07</t>
  </si>
  <si>
    <t>WO-550001</t>
  </si>
  <si>
    <t>2023-01-16</t>
  </si>
  <si>
    <t>302 M 002</t>
  </si>
  <si>
    <t>2023-01-16 18:22</t>
  </si>
  <si>
    <t>2023-01-16 22:32</t>
  </si>
  <si>
    <t>WO-550041</t>
  </si>
  <si>
    <t>2023-10-22</t>
  </si>
  <si>
    <t>PMP103</t>
  </si>
  <si>
    <t>2023-10-22 18:38</t>
  </si>
  <si>
    <t>WO-550068</t>
  </si>
  <si>
    <t>2024-04-28</t>
  </si>
  <si>
    <t>MTR-312</t>
  </si>
  <si>
    <t>2024-04-28 14:37</t>
  </si>
  <si>
    <t>2024-04-28 19:28</t>
  </si>
  <si>
    <t>WO-550140</t>
  </si>
  <si>
    <t>2025-06-05</t>
  </si>
  <si>
    <t>2025-06-05 04:58</t>
  </si>
  <si>
    <t>2025-06-05 16:21</t>
  </si>
  <si>
    <t>WO-650047</t>
  </si>
  <si>
    <t>2023-06-25</t>
  </si>
  <si>
    <t>PMP102B</t>
  </si>
  <si>
    <t>2023-06-25 08:00</t>
  </si>
  <si>
    <t>WO-550169</t>
  </si>
  <si>
    <t>2025-11-10</t>
  </si>
  <si>
    <t>Impulse line restriction found; flushed and restored response.</t>
  </si>
  <si>
    <t>2025-11-10 18:54</t>
  </si>
  <si>
    <t>2025-11-10 21:22</t>
  </si>
  <si>
    <t>WO-650020</t>
  </si>
  <si>
    <t>2023-02-23</t>
  </si>
  <si>
    <t>305 M 006</t>
  </si>
  <si>
    <t>routine megger test done</t>
  </si>
  <si>
    <t>2023-02-23 08:00</t>
  </si>
  <si>
    <t>WO-550051</t>
  </si>
  <si>
    <t>2024-01-11</t>
  </si>
  <si>
    <t>FT-1794</t>
  </si>
  <si>
    <t>checked; signal noise / intermittent communication; fixed</t>
  </si>
  <si>
    <t>2024-01-11 03:12</t>
  </si>
  <si>
    <t>2024-01-11 06:12</t>
  </si>
  <si>
    <t>WO-550027</t>
  </si>
  <si>
    <t>2023-06-23</t>
  </si>
  <si>
    <t>MTR-307</t>
  </si>
  <si>
    <t>2023-06-23 11:09</t>
  </si>
  <si>
    <t>WO-550036</t>
  </si>
  <si>
    <t>2023-08-17</t>
  </si>
  <si>
    <t>2023-08-17 23:37</t>
  </si>
  <si>
    <t>2023-08-18 03:19</t>
  </si>
  <si>
    <t>WO-550046</t>
  </si>
  <si>
    <t>2023-12-09</t>
  </si>
  <si>
    <t>CV402</t>
  </si>
  <si>
    <t>2023-12-09 04:44</t>
  </si>
  <si>
    <t>2023-12-09 09:29</t>
  </si>
  <si>
    <t>WO-550126</t>
  </si>
  <si>
    <t>2025-02-16</t>
  </si>
  <si>
    <t>CMP-206B</t>
  </si>
  <si>
    <t>2025-02-16 12:19</t>
  </si>
  <si>
    <t>2025-02-16 21:18</t>
  </si>
  <si>
    <t>WO-550100</t>
  </si>
  <si>
    <t>2024-09-15</t>
  </si>
  <si>
    <t>MTR-310</t>
  </si>
  <si>
    <t>Loose terminal found; hot spot on IR; tightened and re-torqued connections.</t>
  </si>
  <si>
    <t>2024-09-15 13:30</t>
  </si>
  <si>
    <t>2024-09-15 18:19</t>
  </si>
  <si>
    <t>WO-550151</t>
  </si>
  <si>
    <t>2025-08-05</t>
  </si>
  <si>
    <t>PT-1760</t>
  </si>
  <si>
    <t>2025-08-05 11:57</t>
  </si>
  <si>
    <t>2025-08-05 13:58</t>
  </si>
  <si>
    <t>WO-550155</t>
  </si>
  <si>
    <t>2025-08-27</t>
  </si>
  <si>
    <t>112-P-001</t>
  </si>
  <si>
    <t>checked; dry running / loss of suction; fixed</t>
  </si>
  <si>
    <t>2025-08-27 05:56</t>
  </si>
  <si>
    <t>2025-08-27 12:04</t>
  </si>
  <si>
    <t>WO-550131</t>
  </si>
  <si>
    <t>2025-04-24</t>
  </si>
  <si>
    <t>LT1723</t>
  </si>
  <si>
    <t>2025-04-24 07:56</t>
  </si>
  <si>
    <t>2025-04-24 12:38</t>
  </si>
  <si>
    <t>WO-650220</t>
  </si>
  <si>
    <t>2025-05-07</t>
  </si>
  <si>
    <t>112-p-001</t>
  </si>
  <si>
    <t>routine lube done</t>
  </si>
  <si>
    <t>2025-05-07 09:00</t>
  </si>
  <si>
    <t>WO-550074</t>
  </si>
  <si>
    <t>2024-05-11</t>
  </si>
  <si>
    <t>2024-05-11 08:33</t>
  </si>
  <si>
    <t>2024-05-11 12:47</t>
  </si>
  <si>
    <t>WO-650040</t>
  </si>
  <si>
    <t>2023-05-22</t>
  </si>
  <si>
    <t>Lubricated and rechecked</t>
  </si>
  <si>
    <t>2023-05-22 14:00</t>
  </si>
  <si>
    <t>2023-05-22 15:27</t>
  </si>
  <si>
    <t>WO-650138</t>
  </si>
  <si>
    <t>2024-06-16</t>
  </si>
  <si>
    <t>206-C-009B</t>
  </si>
  <si>
    <t>2024-06-16 10:00</t>
  </si>
  <si>
    <t>2024-06-16 12:10</t>
  </si>
  <si>
    <t>WO-550063</t>
  </si>
  <si>
    <t>2024-03-27</t>
  </si>
  <si>
    <t>PT1587</t>
  </si>
  <si>
    <t>checked; environmental ingress (moisture/corrosion); fixed</t>
  </si>
  <si>
    <t>2024-03-27 05:25</t>
  </si>
  <si>
    <t>2024-03-27 07:49</t>
  </si>
  <si>
    <t>WO-550174</t>
  </si>
  <si>
    <t>2025-11-28</t>
  </si>
  <si>
    <t>2025-11-29 07:09</t>
  </si>
  <si>
    <t>WO-650024</t>
  </si>
  <si>
    <t>2023-02-28</t>
  </si>
  <si>
    <t>102-p-002b</t>
  </si>
  <si>
    <t>2023-02-28 08:00</t>
  </si>
  <si>
    <t>2023-02-28 09:36</t>
  </si>
  <si>
    <t>WO-550150</t>
  </si>
  <si>
    <t>2025-07-29</t>
  </si>
  <si>
    <t>113-P-004B</t>
  </si>
  <si>
    <t>2025-07-29 22:45</t>
  </si>
  <si>
    <t>2025-07-30 01:32</t>
  </si>
  <si>
    <t>WO-550075</t>
  </si>
  <si>
    <t>2024-05-16</t>
  </si>
  <si>
    <t>2024-05-16 10:49</t>
  </si>
  <si>
    <t>2024-05-16 12:05</t>
  </si>
  <si>
    <t>WO-550084</t>
  </si>
  <si>
    <t>2024-06-26</t>
  </si>
  <si>
    <t>402-fv-765</t>
  </si>
  <si>
    <t>Observed abnormal vibration; suspected cavitation. Seal temperature elevated.</t>
  </si>
  <si>
    <t>2024-06-26 16:12</t>
  </si>
  <si>
    <t>WO-550179</t>
  </si>
  <si>
    <t>pt-1760</t>
  </si>
  <si>
    <t>checked; sensor element failure (rtd/tc); fixed</t>
  </si>
  <si>
    <t>2025-12-25 14:49</t>
  </si>
  <si>
    <t>2025-12-25 19:03</t>
  </si>
  <si>
    <t>WO-550022</t>
  </si>
  <si>
    <t>2023-06-01</t>
  </si>
  <si>
    <t>303 M 005</t>
  </si>
  <si>
    <t>2023-06-01 09:13</t>
  </si>
  <si>
    <t>2023-06-02 01:59</t>
  </si>
  <si>
    <t>WO-550113</t>
  </si>
  <si>
    <t>2024-11-22</t>
  </si>
  <si>
    <t>2024-11-22 20:30</t>
  </si>
  <si>
    <t>2024-11-23 00:27</t>
  </si>
  <si>
    <t>WO-550065</t>
  </si>
  <si>
    <t>2024-04-10</t>
  </si>
  <si>
    <t>PMP112</t>
  </si>
  <si>
    <t>2024-04-10 16:20</t>
  </si>
  <si>
    <t>2024-04-10 21:09</t>
  </si>
  <si>
    <t>WO-550029</t>
  </si>
  <si>
    <t>2023-06-30</t>
  </si>
  <si>
    <t>108 P 004</t>
  </si>
  <si>
    <t>trip - bearing issue; reset attempted</t>
  </si>
  <si>
    <t>2023-06-30 07:38</t>
  </si>
  <si>
    <t>2023-06-30 14:00</t>
  </si>
  <si>
    <t>WO-650135</t>
  </si>
  <si>
    <t>2024-06-01</t>
  </si>
  <si>
    <t>CMP-204</t>
  </si>
  <si>
    <t>routine oil change done</t>
  </si>
  <si>
    <t>2024-06-01 07:00</t>
  </si>
  <si>
    <t>2024-06-01 09:29</t>
  </si>
  <si>
    <t>WO-550142</t>
  </si>
  <si>
    <t>2025-06-24</t>
  </si>
  <si>
    <t>203C009</t>
  </si>
  <si>
    <t>2025-06-24 23:02</t>
  </si>
  <si>
    <t>2025-06-26 10:26</t>
  </si>
  <si>
    <t>WO-550102</t>
  </si>
  <si>
    <t>2024-10-01</t>
  </si>
  <si>
    <t>lt-1723</t>
  </si>
  <si>
    <t>checked; calibration drift / out of tolerance; fixed</t>
  </si>
  <si>
    <t>2024-10-01 02:42</t>
  </si>
  <si>
    <t>WO-650033</t>
  </si>
  <si>
    <t>2023-05-02</t>
  </si>
  <si>
    <t>2023-05-02 14:11</t>
  </si>
  <si>
    <t>WO-550090</t>
  </si>
  <si>
    <t>2024-07-19</t>
  </si>
  <si>
    <t>TX-507</t>
  </si>
  <si>
    <t>trip - false issue; reset attempted</t>
  </si>
  <si>
    <t>2024-07-19 03:51</t>
  </si>
  <si>
    <t>2024-07-19 07:53</t>
  </si>
  <si>
    <t>WO-550101</t>
  </si>
  <si>
    <t>2024-09-27</t>
  </si>
  <si>
    <t>306M009</t>
  </si>
  <si>
    <t>2024-09-27 09:45</t>
  </si>
  <si>
    <t>2024-09-27 13:40</t>
  </si>
  <si>
    <t>WO-550116</t>
  </si>
  <si>
    <t>2024-12-07</t>
  </si>
  <si>
    <t>2024-12-07 18:24</t>
  </si>
  <si>
    <t>WO-650029</t>
  </si>
  <si>
    <t>2023-04-16</t>
  </si>
  <si>
    <t>routine ir scan done</t>
  </si>
  <si>
    <t>2023-04-16 11:00</t>
  </si>
  <si>
    <t>2023-04-16 13:15</t>
  </si>
  <si>
    <t>WO-550062</t>
  </si>
  <si>
    <t>2024-03-26</t>
  </si>
  <si>
    <t>201 C 004A</t>
  </si>
  <si>
    <t>2024-03-26 18:37</t>
  </si>
  <si>
    <t>2024-03-27 02:03</t>
  </si>
  <si>
    <t>WO-550134</t>
  </si>
  <si>
    <t>2025-05-04</t>
  </si>
  <si>
    <t>107P001</t>
  </si>
  <si>
    <t>2025-05-05 00:24</t>
  </si>
  <si>
    <t>2025-05-05 07:53</t>
  </si>
  <si>
    <t>WO-650156</t>
  </si>
  <si>
    <t>2024-08-05</t>
  </si>
  <si>
    <t>402 FV 765</t>
  </si>
  <si>
    <t>2024-08-05 11:36</t>
  </si>
  <si>
    <t>WO-650115</t>
  </si>
  <si>
    <t>2024-02-22</t>
  </si>
  <si>
    <t>2024-02-22 09:00</t>
  </si>
  <si>
    <t>2024-02-22 09:51</t>
  </si>
  <si>
    <t>WO-550042</t>
  </si>
  <si>
    <t>2023-10-28</t>
  </si>
  <si>
    <t>CMP-205B</t>
  </si>
  <si>
    <t>trip - surge issue; reset attempted</t>
  </si>
  <si>
    <t>2023-10-28 17:19</t>
  </si>
  <si>
    <t>WO-550040</t>
  </si>
  <si>
    <t>2023-10-06</t>
  </si>
  <si>
    <t>404-fv-210</t>
  </si>
  <si>
    <t>2023-10-06 07:03</t>
  </si>
  <si>
    <t>2023-10-06 10:01</t>
  </si>
  <si>
    <t>WO-650162</t>
  </si>
  <si>
    <t>2024-08-29</t>
  </si>
  <si>
    <t>202 C 006</t>
  </si>
  <si>
    <t>PM oil change; as-found calibration error 0.6%; adjusted</t>
  </si>
  <si>
    <t>2024-08-29 12:00</t>
  </si>
  <si>
    <t>WO-650150</t>
  </si>
  <si>
    <t>2024-07-26</t>
  </si>
  <si>
    <t>routine impulse line check done</t>
  </si>
  <si>
    <t>2024-07-26 13:11</t>
  </si>
  <si>
    <t>WO-550139</t>
  </si>
  <si>
    <t>2025-05-29</t>
  </si>
  <si>
    <t>CV-402</t>
  </si>
  <si>
    <t>2025-05-29 07:34</t>
  </si>
  <si>
    <t>2025-05-29 10:48</t>
  </si>
  <si>
    <t>WO-550110</t>
  </si>
  <si>
    <t>2024-11-14</t>
  </si>
  <si>
    <t>PT 1760</t>
  </si>
  <si>
    <t>2024-11-13 23:50</t>
  </si>
  <si>
    <t>2024-11-14 01:53</t>
  </si>
  <si>
    <t>WO-550059</t>
  </si>
  <si>
    <t>2024-02-23</t>
  </si>
  <si>
    <t>Megger PI low; motor pulled for inspection; winding repair scheduled.</t>
  </si>
  <si>
    <t>2024-02-23 08:42</t>
  </si>
  <si>
    <t>2024-02-23 21:00</t>
  </si>
  <si>
    <t>WO-650251</t>
  </si>
  <si>
    <t>2025-10-25</t>
  </si>
  <si>
    <t>108-p-004</t>
  </si>
  <si>
    <t>PM seal flush check; ir scan indicates warm terminal; re-torqued</t>
  </si>
  <si>
    <t>2025-10-25 14:00</t>
  </si>
  <si>
    <t>2025-10-25 15:46</t>
  </si>
  <si>
    <t>WO-550030</t>
  </si>
  <si>
    <t>2023-07-06 05:35</t>
  </si>
  <si>
    <t>2023-07-06 11:30</t>
  </si>
  <si>
    <t>WO-650208</t>
  </si>
  <si>
    <t>2025-02-25</t>
  </si>
  <si>
    <t>102P002B</t>
  </si>
  <si>
    <t>WO-550171</t>
  </si>
  <si>
    <t>2025-11-24</t>
  </si>
  <si>
    <t>PMP108</t>
  </si>
  <si>
    <t>2025-11-24 11:48</t>
  </si>
  <si>
    <t>2025-11-24 23:03</t>
  </si>
  <si>
    <t>WO-650255</t>
  </si>
  <si>
    <t>310-m-004</t>
  </si>
  <si>
    <t>2025-11-06 14:00</t>
  </si>
  <si>
    <t>2025-11-06 14:50</t>
  </si>
  <si>
    <t>WO-550149</t>
  </si>
  <si>
    <t>2025-07-27</t>
  </si>
  <si>
    <t>311-M-007</t>
  </si>
  <si>
    <t>checked; insulation breakdown (winding fault); fixed</t>
  </si>
  <si>
    <t>2025-07-27 20:52</t>
  </si>
  <si>
    <t>2025-07-27 23:45</t>
  </si>
  <si>
    <t>WO-550103</t>
  </si>
  <si>
    <t>2024-10-05</t>
  </si>
  <si>
    <t>2024-10-05 03:09</t>
  </si>
  <si>
    <t>2024-10-05 18:59</t>
  </si>
  <si>
    <t>WO-550095</t>
  </si>
  <si>
    <t>2024-08-14</t>
  </si>
  <si>
    <t>TX-501</t>
  </si>
  <si>
    <t>trip - calibration issue; reset attempted</t>
  </si>
  <si>
    <t>2024-08-14 16:08</t>
  </si>
  <si>
    <t>WO-650004</t>
  </si>
  <si>
    <t>2023-01-07</t>
  </si>
  <si>
    <t>2023-01-07 12:00</t>
  </si>
  <si>
    <t>WO-650260</t>
  </si>
  <si>
    <t>2025-12-30</t>
  </si>
  <si>
    <t>CV-404</t>
  </si>
  <si>
    <t>PM inspection; minor wear observed; monitor</t>
  </si>
  <si>
    <t>2025-12-30 11:00</t>
  </si>
  <si>
    <t>2025-12-30 11:49</t>
  </si>
  <si>
    <t>WO-650031</t>
  </si>
  <si>
    <t>2023-04-26</t>
  </si>
  <si>
    <t>106-P-003</t>
  </si>
  <si>
    <t>PM lube; oil sample shows elevated particles; changed oil</t>
  </si>
  <si>
    <t>2023-04-26 12:00</t>
  </si>
  <si>
    <t>2023-04-26 13:52</t>
  </si>
  <si>
    <t>WO-650048</t>
  </si>
  <si>
    <t>PM alignment check; minor wear observed; monitor</t>
  </si>
  <si>
    <t>2023-06-25 13:00</t>
  </si>
  <si>
    <t>2023-06-25 14:16</t>
  </si>
  <si>
    <t>WO-650059</t>
  </si>
  <si>
    <t>2023-07-25</t>
  </si>
  <si>
    <t>CV408</t>
  </si>
  <si>
    <t>2023-07-25 09:00</t>
  </si>
  <si>
    <t>2023-07-25 10:24</t>
  </si>
  <si>
    <t>WO-550144</t>
  </si>
  <si>
    <t>2025-06-27</t>
  </si>
  <si>
    <t>309-m-008</t>
  </si>
  <si>
    <t>2025-06-27 11:13</t>
  </si>
  <si>
    <t>2025-06-27 15:41</t>
  </si>
  <si>
    <t>WO-550038</t>
  </si>
  <si>
    <t>2023-09-16</t>
  </si>
  <si>
    <t>403-FV-584</t>
  </si>
  <si>
    <t>trip - packing issue; reset attempted</t>
  </si>
  <si>
    <t>2023-09-16 04:34</t>
  </si>
  <si>
    <t>2023-09-16 08:56</t>
  </si>
  <si>
    <t>WO-650006</t>
  </si>
  <si>
    <t>2023-01-17</t>
  </si>
  <si>
    <t>TT1566</t>
  </si>
  <si>
    <t>routine calibration done</t>
  </si>
  <si>
    <t>2023-01-17 09:00</t>
  </si>
  <si>
    <t>2023-01-17 09:24</t>
  </si>
  <si>
    <t>WO-650037</t>
  </si>
  <si>
    <t>2023-05-13</t>
  </si>
  <si>
    <t>CV-409</t>
  </si>
  <si>
    <t>2023-05-13 10:00</t>
  </si>
  <si>
    <t>2023-05-13 10:46</t>
  </si>
  <si>
    <t>WO-550092</t>
  </si>
  <si>
    <t>2024-07-21</t>
  </si>
  <si>
    <t>2024-07-21 08:40</t>
  </si>
  <si>
    <t>2024-07-21 13:13</t>
  </si>
  <si>
    <t>WO-550083</t>
  </si>
  <si>
    <t>2024-06-13</t>
  </si>
  <si>
    <t>307-M-004</t>
  </si>
  <si>
    <t>trip - terminal/connection issue; reset attempted</t>
  </si>
  <si>
    <t>2024-06-13 08:45</t>
  </si>
  <si>
    <t>2024-06-13 17:42</t>
  </si>
  <si>
    <t>WO-650187</t>
  </si>
  <si>
    <t>2024-12-24</t>
  </si>
  <si>
    <t>401FV316</t>
  </si>
  <si>
    <t>routine positioner check done</t>
  </si>
  <si>
    <t>2024-12-24 10:00</t>
  </si>
  <si>
    <t>2024-12-24 11:37</t>
  </si>
  <si>
    <t>WO-550035</t>
  </si>
  <si>
    <t>TT-1566</t>
  </si>
  <si>
    <t>2023-08-02 09:19</t>
  </si>
  <si>
    <t>2023-08-02 11:29</t>
  </si>
  <si>
    <t>WO-650247</t>
  </si>
  <si>
    <t>2025-10-04</t>
  </si>
  <si>
    <t>305-M-006</t>
  </si>
  <si>
    <t>2025-10-04 11:00</t>
  </si>
  <si>
    <t>2025-10-04 12:37</t>
  </si>
  <si>
    <t>WO-550170</t>
  </si>
  <si>
    <t>2025-11-13</t>
  </si>
  <si>
    <t>309M008</t>
  </si>
  <si>
    <t>2025-11-13 20:10</t>
  </si>
  <si>
    <t>WO-650233</t>
  </si>
  <si>
    <t>2025-07-23</t>
  </si>
  <si>
    <t>2025-07-23 11:00</t>
  </si>
  <si>
    <t>2025-07-23 11:18</t>
  </si>
  <si>
    <t>WO-550175</t>
  </si>
  <si>
    <t>2025-12-04</t>
  </si>
  <si>
    <t>MTR-302</t>
  </si>
  <si>
    <t>2025-12-04 07:04</t>
  </si>
  <si>
    <t>WO-550138</t>
  </si>
  <si>
    <t>2025-05-21</t>
  </si>
  <si>
    <t>TT-1503</t>
  </si>
  <si>
    <t>2025-05-21 07:00</t>
  </si>
  <si>
    <t>2025-05-21 10:02</t>
  </si>
  <si>
    <t>WO-650074</t>
  </si>
  <si>
    <t>2023-09-26</t>
  </si>
  <si>
    <t>2023-09-26 10:00</t>
  </si>
  <si>
    <t>2023-09-26 11:00</t>
  </si>
  <si>
    <t>WO-550067</t>
  </si>
  <si>
    <t>2024-04-25</t>
  </si>
  <si>
    <t>107-P-001</t>
  </si>
  <si>
    <t>trip - mechanical issue; reset attempted</t>
  </si>
  <si>
    <t>2024-04-25 09:27</t>
  </si>
  <si>
    <t>2024-04-25 14:25</t>
  </si>
  <si>
    <t>WO-550017</t>
  </si>
  <si>
    <t>2023-05-10</t>
  </si>
  <si>
    <t>CMP201A</t>
  </si>
  <si>
    <t>checked; lube oil pressure low / contamination; fixed</t>
  </si>
  <si>
    <t>2023-05-10 00:51</t>
  </si>
  <si>
    <t>2023-05-10 09:14</t>
  </si>
  <si>
    <t>WO-650160</t>
  </si>
  <si>
    <t>2024-08-25</t>
  </si>
  <si>
    <t>2024-08-25 13:46</t>
  </si>
  <si>
    <t>WO-650205</t>
  </si>
  <si>
    <t>2025-02-16 11:00</t>
  </si>
  <si>
    <t>WO-650070</t>
  </si>
  <si>
    <t>2023-09-07</t>
  </si>
  <si>
    <t>2023-09-07 09:00</t>
  </si>
  <si>
    <t>WO-650062</t>
  </si>
  <si>
    <t>2023-07-31</t>
  </si>
  <si>
    <t>routine loop check done</t>
  </si>
  <si>
    <t>WO-650044</t>
  </si>
  <si>
    <t>2023-06-16</t>
  </si>
  <si>
    <t>206-c-009b</t>
  </si>
  <si>
    <t>2023-06-16 12:00</t>
  </si>
  <si>
    <t>2023-06-16 15:18</t>
  </si>
  <si>
    <t>WO-650185</t>
  </si>
  <si>
    <t>2024-12-16</t>
  </si>
  <si>
    <t>302-m-002</t>
  </si>
  <si>
    <t>2024-12-16 13:55</t>
  </si>
  <si>
    <t>WO-550020</t>
  </si>
  <si>
    <t>2023-05-20</t>
  </si>
  <si>
    <t>CV404</t>
  </si>
  <si>
    <t>trip - stiction issue; reset attempted</t>
  </si>
  <si>
    <t>2023-05-20 21:11</t>
  </si>
  <si>
    <t>2023-05-20 22:35</t>
  </si>
  <si>
    <t>WO-550091</t>
  </si>
  <si>
    <t>2024-07-20</t>
  </si>
  <si>
    <t>111-P-006A</t>
  </si>
  <si>
    <t>2024-07-20 18:03</t>
  </si>
  <si>
    <t>2024-07-20 22:20</t>
  </si>
  <si>
    <t>WO-550166</t>
  </si>
  <si>
    <t>2025-10-24</t>
  </si>
  <si>
    <t>311 M 007</t>
  </si>
  <si>
    <t>2025-10-24 05:20</t>
  </si>
  <si>
    <t>2025-10-24 19:28</t>
  </si>
  <si>
    <t>WO-650188</t>
  </si>
  <si>
    <t>309-M-008</t>
  </si>
  <si>
    <t>2024-12-25 13:00</t>
  </si>
  <si>
    <t>2024-12-25 13:18</t>
  </si>
  <si>
    <t>WO-550176</t>
  </si>
  <si>
    <t>2025-12-05</t>
  </si>
  <si>
    <t>FT-1369</t>
  </si>
  <si>
    <t>2025-12-05 21:41</t>
  </si>
  <si>
    <t>2025-12-06 01:45</t>
  </si>
  <si>
    <t>WO-550044</t>
  </si>
  <si>
    <t>2023-11-14</t>
  </si>
  <si>
    <t>110-P-009</t>
  </si>
  <si>
    <t>2023-11-14 15:29</t>
  </si>
  <si>
    <t>2023-11-14 18:27</t>
  </si>
  <si>
    <t>WO-550098</t>
  </si>
  <si>
    <t>2024-09-05</t>
  </si>
  <si>
    <t>308-M-001</t>
  </si>
  <si>
    <t>WO-550108</t>
  </si>
  <si>
    <t>2024-10-30</t>
  </si>
  <si>
    <t>304 M 009</t>
  </si>
  <si>
    <t>2024-10-30 12:16</t>
  </si>
  <si>
    <t>2024-10-30 22:14</t>
  </si>
  <si>
    <t>WO-550115</t>
  </si>
  <si>
    <t>2024-12-05</t>
  </si>
  <si>
    <t>310 M 004</t>
  </si>
  <si>
    <t>2024-12-05 10:20</t>
  </si>
  <si>
    <t>2024-12-05 17:28</t>
  </si>
  <si>
    <t>WO-550158</t>
  </si>
  <si>
    <t>2025-09-21</t>
  </si>
  <si>
    <t>checked; vfd-related stress / bearing fluting; fixed</t>
  </si>
  <si>
    <t>2025-09-21 06:07</t>
  </si>
  <si>
    <t>2025-09-21 17:49</t>
  </si>
  <si>
    <t>WO-550130</t>
  </si>
  <si>
    <t>2025-04-22</t>
  </si>
  <si>
    <t>2025-04-22 10:37</t>
  </si>
  <si>
    <t>2025-04-22 22:11</t>
  </si>
  <si>
    <t>WO-650178</t>
  </si>
  <si>
    <t>2024-10-27</t>
  </si>
  <si>
    <t>ft-1270</t>
  </si>
  <si>
    <t>2024-10-27 10:00</t>
  </si>
  <si>
    <t>2024-10-27 12:15</t>
  </si>
  <si>
    <t>WO-550086</t>
  </si>
  <si>
    <t>2024-07-02</t>
  </si>
  <si>
    <t>2024-07-02 21:36</t>
  </si>
  <si>
    <t>2024-07-03 07:13</t>
  </si>
  <si>
    <t>WO-550160</t>
  </si>
  <si>
    <t>2025-09-27</t>
  </si>
  <si>
    <t>checked; terminal/connection looseness; fixed</t>
  </si>
  <si>
    <t>2025-09-28 00:05</t>
  </si>
  <si>
    <t>2025-09-28 12:14</t>
  </si>
  <si>
    <t>WO-550136</t>
  </si>
  <si>
    <t>2025-05-10</t>
  </si>
  <si>
    <t>304-M-009</t>
  </si>
  <si>
    <t>2025-05-11 03:23</t>
  </si>
  <si>
    <t>WO-650236</t>
  </si>
  <si>
    <t>2025-08-04</t>
  </si>
  <si>
    <t>408-FV-724</t>
  </si>
  <si>
    <t>2025-08-04 09:00</t>
  </si>
  <si>
    <t>2025-08-04 10:44</t>
  </si>
  <si>
    <t>WO-550052</t>
  </si>
  <si>
    <t>2024-01-17</t>
  </si>
  <si>
    <t>2024-01-17 02:41</t>
  </si>
  <si>
    <t>2024-01-17 07:27</t>
  </si>
  <si>
    <t>WO-550053</t>
  </si>
  <si>
    <t>2024-01-21</t>
  </si>
  <si>
    <t>MTR308</t>
  </si>
  <si>
    <t>2024-01-21 13:22</t>
  </si>
  <si>
    <t>2024-01-21 21:13</t>
  </si>
  <si>
    <t>WO-650107</t>
  </si>
  <si>
    <t>2024-02-09</t>
  </si>
  <si>
    <t>CV-405</t>
  </si>
  <si>
    <t>routine signature test done</t>
  </si>
  <si>
    <t>2024-02-09 07:00</t>
  </si>
  <si>
    <t>2024-02-09 07:19</t>
  </si>
  <si>
    <t>WO-650206</t>
  </si>
  <si>
    <t>2025-02-19</t>
  </si>
  <si>
    <t>CV-407</t>
  </si>
  <si>
    <t>2025-02-19 10:34</t>
  </si>
  <si>
    <t>WO-650146</t>
  </si>
  <si>
    <t>2024-07-18</t>
  </si>
  <si>
    <t>CMP-203</t>
  </si>
  <si>
    <t>2024-07-18 14:00</t>
  </si>
  <si>
    <t>2024-07-18 15:57</t>
  </si>
  <si>
    <t>WO-550049</t>
  </si>
  <si>
    <t>2024-01-03</t>
  </si>
  <si>
    <t>2024-01-03 14:44</t>
  </si>
  <si>
    <t>2024-01-03 18:26</t>
  </si>
  <si>
    <t>WO-550135</t>
  </si>
  <si>
    <t>2025-05-09</t>
  </si>
  <si>
    <t>203-C-009</t>
  </si>
  <si>
    <t>2025-05-09 21:54</t>
  </si>
  <si>
    <t>2025-05-10 01:11</t>
  </si>
  <si>
    <t>WO-550148</t>
  </si>
  <si>
    <t>109P002</t>
  </si>
  <si>
    <t>2025-07-19 16:14</t>
  </si>
  <si>
    <t>2025-07-19 22:07</t>
  </si>
  <si>
    <t>WO-550094</t>
  </si>
  <si>
    <t>2024-07-30</t>
  </si>
  <si>
    <t>2024-07-30 23:38</t>
  </si>
  <si>
    <t>2024-07-31 06:08</t>
  </si>
  <si>
    <t>WO-650078</t>
  </si>
  <si>
    <t>2023-10-09</t>
  </si>
  <si>
    <t>MTR305</t>
  </si>
  <si>
    <t>Calibrated and sealed</t>
  </si>
  <si>
    <t>2023-10-09 10:00</t>
  </si>
  <si>
    <t>WO-550072</t>
  </si>
  <si>
    <t>inspected; issue corrected</t>
  </si>
  <si>
    <t>2024-05-10 05:25</t>
  </si>
  <si>
    <t>2024-05-10 07:29</t>
  </si>
  <si>
    <t>WO-550003</t>
  </si>
  <si>
    <t>2023-01-26</t>
  </si>
  <si>
    <t>CV409</t>
  </si>
  <si>
    <t>2023-01-26 14:48</t>
  </si>
  <si>
    <t>2023-01-26 17:59</t>
  </si>
  <si>
    <t>WO-550071</t>
  </si>
  <si>
    <t>2024-05-06</t>
  </si>
  <si>
    <t>206 C 009B</t>
  </si>
  <si>
    <t>2024-05-06 22:03</t>
  </si>
  <si>
    <t>2024-05-07 05:36</t>
  </si>
  <si>
    <t>WO-650199</t>
  </si>
  <si>
    <t>2025-01-23</t>
  </si>
  <si>
    <t>404FV210</t>
  </si>
  <si>
    <t>2025-01-23 12:00</t>
  </si>
  <si>
    <t>2025-01-23 13:18</t>
  </si>
  <si>
    <t>WO-650008</t>
  </si>
  <si>
    <t>402FV765</t>
  </si>
  <si>
    <t>WO-550076</t>
  </si>
  <si>
    <t>406-fv-969</t>
  </si>
  <si>
    <t>2024-05-16 20:16</t>
  </si>
  <si>
    <t>2024-05-16 23:28</t>
  </si>
  <si>
    <t>WO-550024</t>
  </si>
  <si>
    <t>2023-06-02</t>
  </si>
  <si>
    <t>2023-06-02 21:20</t>
  </si>
  <si>
    <t>2023-06-03 08:43</t>
  </si>
  <si>
    <t>WO-650014</t>
  </si>
  <si>
    <t>2023-02-10</t>
  </si>
  <si>
    <t>CV403</t>
  </si>
  <si>
    <t>Inspected and recorded baseline</t>
  </si>
  <si>
    <t>2023-02-10 08:00</t>
  </si>
  <si>
    <t>2023-02-10 08:18</t>
  </si>
  <si>
    <t>WO-550079</t>
  </si>
  <si>
    <t>2024-06-02 12:51</t>
  </si>
  <si>
    <t>WO-650179</t>
  </si>
  <si>
    <t>2024-10-28</t>
  </si>
  <si>
    <t>FT1369</t>
  </si>
  <si>
    <t>PM inspection; vibration elevated; route follow-up</t>
  </si>
  <si>
    <t>2024-10-28 08:19</t>
  </si>
  <si>
    <t>WO-550008</t>
  </si>
  <si>
    <t>2023-02-08</t>
  </si>
  <si>
    <t>TX-508</t>
  </si>
  <si>
    <t>trip - signal issue; reset attempted</t>
  </si>
  <si>
    <t>2023-02-08 11:40</t>
  </si>
  <si>
    <t>2023-02-08 13:28</t>
  </si>
  <si>
    <t>WO-550107</t>
  </si>
  <si>
    <t>2024-10-24</t>
  </si>
  <si>
    <t>404 FV 210</t>
  </si>
  <si>
    <t>2024-10-24 05:41</t>
  </si>
  <si>
    <t>2024-10-24 12:19</t>
  </si>
  <si>
    <t>WO-550156</t>
  </si>
  <si>
    <t>2025-09-14</t>
  </si>
  <si>
    <t>405-FV-891</t>
  </si>
  <si>
    <t>2025-09-14 04:44</t>
  </si>
  <si>
    <t>2025-09-14 12:46</t>
  </si>
  <si>
    <t>WO-550177</t>
  </si>
  <si>
    <t>2025-12-11</t>
  </si>
  <si>
    <t>308 M 001</t>
  </si>
  <si>
    <t>2025-12-11 08:29</t>
  </si>
  <si>
    <t>2025-12-11 10:24</t>
  </si>
  <si>
    <t>WO-550010</t>
  </si>
  <si>
    <t>2023-03-03</t>
  </si>
  <si>
    <t>checked; actuator air supply issue; fixed</t>
  </si>
  <si>
    <t>2023-03-03 17:36</t>
  </si>
  <si>
    <t>2023-03-04 00:07</t>
  </si>
  <si>
    <t>WO-550021</t>
  </si>
  <si>
    <t>2023-05-30</t>
  </si>
  <si>
    <t>2023-05-30 11:00</t>
  </si>
  <si>
    <t>2023-05-30 14:36</t>
  </si>
  <si>
    <t>WO-550088</t>
  </si>
  <si>
    <t>2024-07-03</t>
  </si>
  <si>
    <t>MTR-301</t>
  </si>
  <si>
    <t>2024-07-03 14:05</t>
  </si>
  <si>
    <t>2024-07-04 01:13</t>
  </si>
  <si>
    <t>WO-550019</t>
  </si>
  <si>
    <t>2023-05-13 04:00</t>
  </si>
  <si>
    <t>2023-05-13 09:59</t>
  </si>
  <si>
    <t>WO-650182</t>
  </si>
  <si>
    <t>2024-11-08</t>
  </si>
  <si>
    <t>PT-1587</t>
  </si>
  <si>
    <t>2024-11-08 07:00</t>
  </si>
  <si>
    <t>2024-11-08 08:23</t>
  </si>
  <si>
    <t>WO-650049</t>
  </si>
  <si>
    <t>2023-06-30 14:33</t>
  </si>
  <si>
    <t>WO-650164</t>
  </si>
  <si>
    <t>2024-09-17</t>
  </si>
  <si>
    <t>101-P-009A</t>
  </si>
  <si>
    <t>2024-09-17 13:00</t>
  </si>
  <si>
    <t>2024-09-17 15:24</t>
  </si>
  <si>
    <t>WO-550082</t>
  </si>
  <si>
    <t>2024-06-06</t>
  </si>
  <si>
    <t>PMP113B</t>
  </si>
  <si>
    <t>2024-06-06 00:41</t>
  </si>
  <si>
    <t>2024-06-06 04:09</t>
  </si>
  <si>
    <t>WO-550006</t>
  </si>
  <si>
    <t>2023-02-01</t>
  </si>
  <si>
    <t>2023-02-01 08:32</t>
  </si>
  <si>
    <t>2023-02-01 14:42</t>
  </si>
  <si>
    <t>WO-550089</t>
  </si>
  <si>
    <t>2024-07-06</t>
  </si>
  <si>
    <t>109-P-002</t>
  </si>
  <si>
    <t>2024-07-06 16:29</t>
  </si>
  <si>
    <t>2024-07-07 06:11</t>
  </si>
  <si>
    <t>WO-550056</t>
  </si>
  <si>
    <t>2024-02-13</t>
  </si>
  <si>
    <t>410-FV-828</t>
  </si>
  <si>
    <t>2024-02-13 12:17</t>
  </si>
  <si>
    <t>2024-02-13 16:58</t>
  </si>
  <si>
    <t>WO-550128</t>
  </si>
  <si>
    <t>2025-03-13</t>
  </si>
  <si>
    <t>103 P 006</t>
  </si>
  <si>
    <t>trip - dry issue; reset attempted</t>
  </si>
  <si>
    <t>2025-03-13 11:49</t>
  </si>
  <si>
    <t>2025-03-13 19:10</t>
  </si>
  <si>
    <t>WO-550093</t>
  </si>
  <si>
    <t>2024-07-25</t>
  </si>
  <si>
    <t>MTR-311</t>
  </si>
  <si>
    <t>2024-07-25 20:57</t>
  </si>
  <si>
    <t>2024-07-26 00:46</t>
  </si>
  <si>
    <t>WO-550060</t>
  </si>
  <si>
    <t>2024-03-02</t>
  </si>
  <si>
    <t>2024-03-02 18:44</t>
  </si>
  <si>
    <t>2024-03-03 01:24</t>
  </si>
  <si>
    <t>WO-650053</t>
  </si>
  <si>
    <t>2023-07-09</t>
  </si>
  <si>
    <t>2023-07-09 14:00</t>
  </si>
  <si>
    <t>2023-07-09 14:18</t>
  </si>
  <si>
    <t>WO-550161</t>
  </si>
  <si>
    <t>2025-10-05</t>
  </si>
  <si>
    <t>2025-10-05 20:09</t>
  </si>
  <si>
    <t>2025-10-05 22:27</t>
  </si>
  <si>
    <t>WO-650177</t>
  </si>
  <si>
    <t>201-C-004A</t>
  </si>
  <si>
    <t>2024-10-27 08:00</t>
  </si>
  <si>
    <t>2024-10-27 11:07</t>
  </si>
  <si>
    <t>WO-650159</t>
  </si>
  <si>
    <t>2024-08-23</t>
  </si>
  <si>
    <t>407 FV 851</t>
  </si>
  <si>
    <t>2024-08-23 10:00</t>
  </si>
  <si>
    <t>WO-550106</t>
  </si>
  <si>
    <t>2024-10-22</t>
  </si>
  <si>
    <t>108P004</t>
  </si>
  <si>
    <t>2024-10-22 14:01</t>
  </si>
  <si>
    <t>2024-10-22 18:55</t>
  </si>
  <si>
    <t>WO-550061</t>
  </si>
  <si>
    <t>2024-03-19</t>
  </si>
  <si>
    <t>2024-03-19 10:43</t>
  </si>
  <si>
    <t>2024-03-19 13:42</t>
  </si>
  <si>
    <t>WO-650089</t>
  </si>
  <si>
    <t>2023-12-18</t>
  </si>
  <si>
    <t>routine packing adjust done</t>
  </si>
  <si>
    <t>2023-12-18 15:57</t>
  </si>
  <si>
    <t>WO-650126</t>
  </si>
  <si>
    <t>2024-04-22</t>
  </si>
  <si>
    <t>CMP205B</t>
  </si>
  <si>
    <t>2024-04-22 08:00</t>
  </si>
  <si>
    <t>2024-04-22 09:33</t>
  </si>
  <si>
    <t>WO-650114</t>
  </si>
  <si>
    <t>2024-02-20</t>
  </si>
  <si>
    <t>routine filter change done</t>
  </si>
  <si>
    <t>2024-02-20 15:34</t>
  </si>
  <si>
    <t>WO-550028</t>
  </si>
  <si>
    <t>2023-06-28</t>
  </si>
  <si>
    <t>2023-06-28 16:40</t>
  </si>
  <si>
    <t>2023-06-28 19:39</t>
  </si>
  <si>
    <t>WO-550104</t>
  </si>
  <si>
    <t>PMP107</t>
  </si>
  <si>
    <t>2024-10-05 14:29</t>
  </si>
  <si>
    <t>2024-10-05 21:29</t>
  </si>
  <si>
    <t>WO-550023</t>
  </si>
  <si>
    <t>checked; bearing degradation / failure; fixed</t>
  </si>
  <si>
    <t>2023-06-02 17:58</t>
  </si>
  <si>
    <t>WO-550099</t>
  </si>
  <si>
    <t>2024-09-11</t>
  </si>
  <si>
    <t>2024-09-11 23:21</t>
  </si>
  <si>
    <t>2024-09-12 03:24</t>
  </si>
  <si>
    <t>WO-650045</t>
  </si>
  <si>
    <t>2023-06-18</t>
  </si>
  <si>
    <t>2023-06-18 09:00</t>
  </si>
  <si>
    <t>2023-06-18 09:18</t>
  </si>
  <si>
    <t>WO-650213</t>
  </si>
  <si>
    <t>2025-04-07</t>
  </si>
  <si>
    <t>MTR311</t>
  </si>
  <si>
    <t>routine bearing grease done</t>
  </si>
  <si>
    <t>2025-04-07 10:00</t>
  </si>
  <si>
    <t>2025-04-07 10:32</t>
  </si>
  <si>
    <t>WO-550112</t>
  </si>
  <si>
    <t>2024-11-15</t>
  </si>
  <si>
    <t>TT1503</t>
  </si>
  <si>
    <t>2024-11-15 20:22</t>
  </si>
  <si>
    <t>WO-550153</t>
  </si>
  <si>
    <t>2025-08-15</t>
  </si>
  <si>
    <t>PT 1587</t>
  </si>
  <si>
    <t>2025-08-15 04:41</t>
  </si>
  <si>
    <t>2025-08-15 09:09</t>
  </si>
  <si>
    <t>WO-550145</t>
  </si>
  <si>
    <t>2025-06-29</t>
  </si>
  <si>
    <t>305M006</t>
  </si>
  <si>
    <t>2025-06-29 16:29</t>
  </si>
  <si>
    <t>2025-06-29 23:00</t>
  </si>
  <si>
    <t>WO-550055</t>
  </si>
  <si>
    <t>2024-02-02</t>
  </si>
  <si>
    <t>2024-02-02 22:15</t>
  </si>
  <si>
    <t>2024-02-03 00:52</t>
  </si>
  <si>
    <t>WO-650010</t>
  </si>
  <si>
    <t>2023-02-05</t>
  </si>
  <si>
    <t>2023-02-05 10:04</t>
  </si>
  <si>
    <t>WO-550064</t>
  </si>
  <si>
    <t>105 P 006A</t>
  </si>
  <si>
    <t>2024-03-27 21:39</t>
  </si>
  <si>
    <t>2024-03-28 05:16</t>
  </si>
  <si>
    <t>WO-650238</t>
  </si>
  <si>
    <t>2025-08-06</t>
  </si>
  <si>
    <t>410-fv-828</t>
  </si>
  <si>
    <t>PM positioner check; filter differential pressure high; cleaned</t>
  </si>
  <si>
    <t>2025-08-06 13:56</t>
  </si>
  <si>
    <t>WO-550124</t>
  </si>
  <si>
    <t>2025-02-11</t>
  </si>
  <si>
    <t>404-FV-210</t>
  </si>
  <si>
    <t>checked; stiction / sticking; fixed</t>
  </si>
  <si>
    <t>2025-02-11 08:01</t>
  </si>
  <si>
    <t>2025-02-11 13:12</t>
  </si>
  <si>
    <t>WO-550078</t>
  </si>
  <si>
    <t>2024-05-30</t>
  </si>
  <si>
    <t>2024-05-30 09:26</t>
  </si>
  <si>
    <t>2024-05-30 11:50</t>
  </si>
  <si>
    <t>WO-550050</t>
  </si>
  <si>
    <t>2024-01-10</t>
  </si>
  <si>
    <t>TX503</t>
  </si>
  <si>
    <t>2024-01-10 11:08</t>
  </si>
  <si>
    <t>2024-01-10 12:52</t>
  </si>
  <si>
    <t>WO-550137</t>
  </si>
  <si>
    <t>2025-05-12</t>
  </si>
  <si>
    <t>trip - insulation issue; reset attempted</t>
  </si>
  <si>
    <t>2025-05-12 20:29</t>
  </si>
  <si>
    <t>2025-05-13 02:10</t>
  </si>
  <si>
    <t>WO-550012</t>
  </si>
  <si>
    <t>2023-03-29</t>
  </si>
  <si>
    <t>2023-03-29 19:44</t>
  </si>
  <si>
    <t>WO-550043</t>
  </si>
  <si>
    <t>2023-11-09</t>
  </si>
  <si>
    <t>103P006</t>
  </si>
  <si>
    <t>2023-11-09 10:49</t>
  </si>
  <si>
    <t>2023-11-10 02:19</t>
  </si>
  <si>
    <t>WO-550109</t>
  </si>
  <si>
    <t>2024-11-01</t>
  </si>
  <si>
    <t>312-m-009</t>
  </si>
  <si>
    <t>2024-11-01 18:41</t>
  </si>
  <si>
    <t>2024-11-02 01:56</t>
  </si>
  <si>
    <t>WO-550007</t>
  </si>
  <si>
    <t>2023-02-04</t>
  </si>
  <si>
    <t>MTR-303</t>
  </si>
  <si>
    <t>2023-02-04 02:47</t>
  </si>
  <si>
    <t>2023-02-04 07:24</t>
  </si>
  <si>
    <t>WO-550146</t>
  </si>
  <si>
    <t>2025-07-05</t>
  </si>
  <si>
    <t>106P003</t>
  </si>
  <si>
    <t>2025-07-05 14:08</t>
  </si>
  <si>
    <t>2025-07-05 18:55</t>
  </si>
  <si>
    <t>WO-650013</t>
  </si>
  <si>
    <t>2023-02-10 10:00</t>
  </si>
  <si>
    <t>WO-650046</t>
  </si>
  <si>
    <t>2023-06-23 08:38</t>
  </si>
  <si>
    <t>WO-650055</t>
  </si>
  <si>
    <t>2023-07-12</t>
  </si>
  <si>
    <t>2023-07-12 07:00</t>
  </si>
  <si>
    <t>2023-07-12 08:51</t>
  </si>
  <si>
    <t>WO-550165</t>
  </si>
  <si>
    <t>2025-10-22</t>
  </si>
  <si>
    <t>FT 1270</t>
  </si>
  <si>
    <t>2025-10-22 06:11</t>
  </si>
  <si>
    <t>2025-10-22 08:47</t>
  </si>
  <si>
    <t>WO-550087</t>
  </si>
  <si>
    <t>2024-07-03 09:22</t>
  </si>
  <si>
    <t>2024-07-03 12:02</t>
  </si>
  <si>
    <t>WO-550032</t>
  </si>
  <si>
    <t>2023-07-13</t>
  </si>
  <si>
    <t>2023-07-13 07:32</t>
  </si>
  <si>
    <t>2023-07-13 13:57</t>
  </si>
  <si>
    <t>WO-550037</t>
  </si>
  <si>
    <t>2023-09-04</t>
  </si>
  <si>
    <t>2023-09-04 03:32</t>
  </si>
  <si>
    <t>2023-09-04 12:02</t>
  </si>
  <si>
    <t>WO-550015</t>
  </si>
  <si>
    <t>2023-04-27</t>
  </si>
  <si>
    <t>pt-1587</t>
  </si>
  <si>
    <t>2023-04-27 00:26</t>
  </si>
  <si>
    <t>WO-550057</t>
  </si>
  <si>
    <t>2024-02-16</t>
  </si>
  <si>
    <t>2024-02-16 21:56</t>
  </si>
  <si>
    <t>2024-02-17 00:14</t>
  </si>
  <si>
    <t>WO-550159</t>
  </si>
  <si>
    <t>301M004</t>
  </si>
  <si>
    <t>2025-09-21 17:09</t>
  </si>
  <si>
    <t>2025-09-22 07:31</t>
  </si>
  <si>
    <t>WO-550127</t>
  </si>
  <si>
    <t>311M007</t>
  </si>
  <si>
    <t>2025-03-13 09:42</t>
  </si>
  <si>
    <t>2025-03-13 21:37</t>
  </si>
  <si>
    <t>WO-550111</t>
  </si>
  <si>
    <t>PMP110</t>
  </si>
  <si>
    <t>2024-11-14 21:06</t>
  </si>
  <si>
    <t>2024-11-15 06:53</t>
  </si>
  <si>
    <t>WO-650036</t>
  </si>
  <si>
    <t>2023-05-12</t>
  </si>
  <si>
    <t>2023-05-12 13:00</t>
  </si>
  <si>
    <t>2023-05-12 13:27</t>
  </si>
  <si>
    <t>WO-650103</t>
  </si>
  <si>
    <t>2024-01-31</t>
  </si>
  <si>
    <t>2024-01-31 08:59</t>
  </si>
  <si>
    <t>WO-550018</t>
  </si>
  <si>
    <t>FT1794</t>
  </si>
  <si>
    <t>2023-05-12 13:26</t>
  </si>
  <si>
    <t>2023-05-12 15:34</t>
  </si>
  <si>
    <t>WO-550013</t>
  </si>
  <si>
    <t>2023-04-09</t>
  </si>
  <si>
    <t>2023-04-09 18:22</t>
  </si>
  <si>
    <t>2023-04-10 01:04</t>
  </si>
  <si>
    <t>WO-550025</t>
  </si>
  <si>
    <t>trip - environmental issue; reset attempted</t>
  </si>
  <si>
    <t>2023-06-20 09:59</t>
  </si>
  <si>
    <t>2023-06-20 14:21</t>
  </si>
  <si>
    <t>WO-550125</t>
  </si>
  <si>
    <t>2025-02-13</t>
  </si>
  <si>
    <t>2025-02-13 05:35</t>
  </si>
  <si>
    <t>2025-02-13 10:33</t>
  </si>
  <si>
    <t>WO-550163</t>
  </si>
  <si>
    <t>2025-10-07 17:31</t>
  </si>
  <si>
    <t>2025-10-07 22:00</t>
  </si>
  <si>
    <t>WO-550141</t>
  </si>
  <si>
    <t>2025-06-12</t>
  </si>
  <si>
    <t>110P009</t>
  </si>
  <si>
    <t>2025-06-12 12:15</t>
  </si>
  <si>
    <t>2025-06-12 14:54</t>
  </si>
  <si>
    <t>WO-650137</t>
  </si>
  <si>
    <t>2024-06-08</t>
  </si>
  <si>
    <t>PM inspection; filter differential pressure high; cleaned</t>
  </si>
  <si>
    <t>2024-06-08 11:00</t>
  </si>
  <si>
    <t>WO-550009</t>
  </si>
  <si>
    <t>2023-02-08 21:06</t>
  </si>
  <si>
    <t>WO-550047</t>
  </si>
  <si>
    <t>2023-12-22</t>
  </si>
  <si>
    <t>2023-12-22 19:19</t>
  </si>
  <si>
    <t>2023-12-22 20:53</t>
  </si>
  <si>
    <t>WO-650052</t>
  </si>
  <si>
    <t>2023-07-03</t>
  </si>
  <si>
    <t>101 P 009A</t>
  </si>
  <si>
    <t>2023-07-03 11:00</t>
  </si>
  <si>
    <t>2023-07-03 11:18</t>
  </si>
  <si>
    <t>WO-650245</t>
  </si>
  <si>
    <t>2025-09-12</t>
  </si>
  <si>
    <t>PM positioner check; no abnormality found</t>
  </si>
  <si>
    <t>2025-09-12 13:00</t>
  </si>
  <si>
    <t>2025-09-12 14:07</t>
  </si>
  <si>
    <t>WO-550119</t>
  </si>
  <si>
    <t>2024-12-26</t>
  </si>
  <si>
    <t>TX-505</t>
  </si>
  <si>
    <t>2024-12-26 11:33</t>
  </si>
  <si>
    <t>2024-12-26 16:29</t>
  </si>
  <si>
    <t>WO-550058</t>
  </si>
  <si>
    <t>114-P-003B</t>
  </si>
  <si>
    <t>2024-02-20 22:41</t>
  </si>
  <si>
    <t>2024-02-21 04:29</t>
  </si>
  <si>
    <t>WO-550054</t>
  </si>
  <si>
    <t>checked; overheat trip; fixed</t>
  </si>
  <si>
    <t>2024-02-01 17:05</t>
  </si>
  <si>
    <t>WO-550143</t>
  </si>
  <si>
    <t>2025-06-26</t>
  </si>
  <si>
    <t>trip - overload issue; reset attempted</t>
  </si>
  <si>
    <t>2025-06-26 09:44</t>
  </si>
  <si>
    <t>2025-06-26 13:20</t>
  </si>
  <si>
    <t>WO-550066</t>
  </si>
  <si>
    <t>2024-04-20</t>
  </si>
  <si>
    <t>TX504</t>
  </si>
  <si>
    <t>2024-04-20 09:37</t>
  </si>
  <si>
    <t>2024-04-20 16:18</t>
  </si>
  <si>
    <t>WO-550016</t>
  </si>
  <si>
    <t>2023-05-09</t>
  </si>
  <si>
    <t>2023-05-10 03:59</t>
  </si>
  <si>
    <t>WO-550121</t>
  </si>
  <si>
    <t>2025-01-06</t>
  </si>
  <si>
    <t>MTR-309</t>
  </si>
  <si>
    <t>2025-01-06 19:34</t>
  </si>
  <si>
    <t>2025-01-06 22:42</t>
  </si>
  <si>
    <t>WO-550122</t>
  </si>
  <si>
    <t>2025-01-22</t>
  </si>
  <si>
    <t>2025-01-22 19:55</t>
  </si>
  <si>
    <t>2025-01-23 01:13</t>
  </si>
  <si>
    <t>WO-550069</t>
  </si>
  <si>
    <t>2024-04-29</t>
  </si>
  <si>
    <t>CV410</t>
  </si>
  <si>
    <t>2024-04-29 21:27</t>
  </si>
  <si>
    <t>2024-04-30 04:34</t>
  </si>
  <si>
    <t>WO-550164</t>
  </si>
  <si>
    <t>2025-10-14</t>
  </si>
  <si>
    <t>2025-10-14 22:02</t>
  </si>
  <si>
    <t>2025-10-15 01:38</t>
  </si>
  <si>
    <t>WO-650128</t>
  </si>
  <si>
    <t>2024-04-29 09:00</t>
  </si>
  <si>
    <t>WO-550096</t>
  </si>
  <si>
    <t>2024-08-30</t>
  </si>
  <si>
    <t>2024-08-30 07:07</t>
  </si>
  <si>
    <t>2024-08-30 10:50</t>
  </si>
  <si>
    <t>WO-550033</t>
  </si>
  <si>
    <t>MTR307</t>
  </si>
  <si>
    <t>2023-07-25 13:01</t>
  </si>
  <si>
    <t>2023-07-25 17:09</t>
  </si>
  <si>
    <t>WO-550132</t>
  </si>
  <si>
    <t>2025-04-29</t>
  </si>
  <si>
    <t>PMP-108</t>
  </si>
  <si>
    <t>trip - misalignment issue; reset attempted</t>
  </si>
  <si>
    <t>2025-04-29 22:18</t>
  </si>
  <si>
    <t>2025-04-30 03:07</t>
  </si>
  <si>
    <t>Plant</t>
  </si>
  <si>
    <t>Asset_ID</t>
  </si>
  <si>
    <t>Technician</t>
  </si>
  <si>
    <t>Raw_Notes</t>
  </si>
  <si>
    <t>Clean_Notes</t>
  </si>
  <si>
    <t>Event_Type</t>
  </si>
  <si>
    <t>Observation_Status</t>
  </si>
  <si>
    <t>Failure_Start</t>
  </si>
  <si>
    <t>Detection_Time</t>
  </si>
  <si>
    <t>Repair_Start</t>
  </si>
  <si>
    <t>Return_To_Service</t>
  </si>
  <si>
    <t>Downtime_hr</t>
  </si>
  <si>
    <t>Planned_Flag</t>
  </si>
  <si>
    <t>Production_Impact</t>
  </si>
  <si>
    <t>Failure_Mode_Code</t>
  </si>
  <si>
    <t>Failure_Mode_Text</t>
  </si>
  <si>
    <t>Data_Quality_Flag</t>
  </si>
  <si>
    <t>Include_For_Reliability</t>
  </si>
  <si>
    <t>Component_Code</t>
  </si>
  <si>
    <t>Location_Code</t>
  </si>
  <si>
    <t>Event_Code</t>
  </si>
  <si>
    <t>Agent_Code</t>
  </si>
  <si>
    <t>Response_Code</t>
  </si>
  <si>
    <t>CLEAR_Code</t>
  </si>
  <si>
    <t>Alpha Process Plant</t>
  </si>
  <si>
    <t>Checked; misalignment / coupling wear; fixed Standardized as misalignment / coupling wear.</t>
  </si>
  <si>
    <t>FAILURE</t>
  </si>
  <si>
    <t>Medium</t>
  </si>
  <si>
    <t>FM-ALN-01</t>
  </si>
  <si>
    <t>Misalignment / coupling wear</t>
  </si>
  <si>
    <t>A</t>
  </si>
  <si>
    <t>CPL</t>
  </si>
  <si>
    <t>DE</t>
  </si>
  <si>
    <t>ALN</t>
  </si>
  <si>
    <t>MEC</t>
  </si>
  <si>
    <t>INSP</t>
  </si>
  <si>
    <t>Low lube oil pressure alarm; filter found dirty; cleaned and replaced element. Standardized as flow restriction / clogging.</t>
  </si>
  <si>
    <t>Low</t>
  </si>
  <si>
    <t>FM-BLK-01</t>
  </si>
  <si>
    <t>Flow restriction / clogging</t>
  </si>
  <si>
    <t>B</t>
  </si>
  <si>
    <t>FIL</t>
  </si>
  <si>
    <t>SUC</t>
  </si>
  <si>
    <t>BLK</t>
  </si>
  <si>
    <t>RPL</t>
  </si>
  <si>
    <t>Trip; reset ok Standardized as protective trip / shutdown event.</t>
  </si>
  <si>
    <t>TRIP</t>
  </si>
  <si>
    <t>FM-TRP-01</t>
  </si>
  <si>
    <t>Protective trip / shutdown event</t>
  </si>
  <si>
    <t>INS</t>
  </si>
  <si>
    <t>CTRL</t>
  </si>
  <si>
    <t>DRF</t>
  </si>
  <si>
    <t>RST</t>
  </si>
  <si>
    <t>Trip - impulse issue; reset attempted Standardized as protective trip / shutdown event.</t>
  </si>
  <si>
    <t>FM-IMP-01</t>
  </si>
  <si>
    <t>Impulse line restriction</t>
  </si>
  <si>
    <t>IMP</t>
  </si>
  <si>
    <t>Planned maintenance / inspection record.</t>
  </si>
  <si>
    <t>PM</t>
  </si>
  <si>
    <t>CENSORED</t>
  </si>
  <si>
    <t>PM-ROUTINE</t>
  </si>
  <si>
    <t>Planned inspection / preventive maintenance</t>
  </si>
  <si>
    <t>ACT</t>
  </si>
  <si>
    <t>STK</t>
  </si>
  <si>
    <t>CTL</t>
  </si>
  <si>
    <t>Adjusted and verified Standardized as corrective maintenance record.</t>
  </si>
  <si>
    <t>CORRECTIVE</t>
  </si>
  <si>
    <t>EXCLUDE</t>
  </si>
  <si>
    <t>FM-ANM-01</t>
  </si>
  <si>
    <t>Observed anomaly / corrective adjustment</t>
  </si>
  <si>
    <t>UNK</t>
  </si>
  <si>
    <t>ADJ</t>
  </si>
  <si>
    <t>Intermittent signal noise; HART comms errors; checked grounding/shield. Standardized as bearing degradation / failure.</t>
  </si>
  <si>
    <t>FM-BRG-01</t>
  </si>
  <si>
    <t>Bearing degradation / failure</t>
  </si>
  <si>
    <t>BRG</t>
  </si>
  <si>
    <t>VIB</t>
  </si>
  <si>
    <t>205-C-009B</t>
  </si>
  <si>
    <t>Trip - lube issue; reset attempted Standardized as protective trip / shutdown event.</t>
  </si>
  <si>
    <t>SYS</t>
  </si>
  <si>
    <t>TRP</t>
  </si>
  <si>
    <t>Checked; travel sensor / positioner fault; fixed Standardized as corrective maintenance record.</t>
  </si>
  <si>
    <t>Bearing noise audible; grease contaminated; bearings replaced. Standardized as bearing degradation / failure.</t>
  </si>
  <si>
    <t>103-P-006</t>
  </si>
  <si>
    <t>Unit tripped on high temperature; reset unsuccessful; cooler suspected fouling. Standardized as protective trip / shutdown event.</t>
  </si>
  <si>
    <t>Abnormal; repaired Standardized as corrective maintenance record.</t>
  </si>
  <si>
    <t>REP</t>
  </si>
  <si>
    <t>Trip - impeller issue; reset attempted Standardized as protective trip / shutdown event.</t>
  </si>
  <si>
    <t>Checked; cavitation damage; fixed Standardized as cavitation damage.</t>
  </si>
  <si>
    <t>FM-CAV-01</t>
  </si>
  <si>
    <t>Cavitation damage</t>
  </si>
  <si>
    <t>CAV</t>
  </si>
  <si>
    <t>HYD</t>
  </si>
  <si>
    <t>Checked; mechanical seal leakage; fixed Standardized as mechanical seal leakage.</t>
  </si>
  <si>
    <t>FM-SEA-01</t>
  </si>
  <si>
    <t>Mechanical seal leakage</t>
  </si>
  <si>
    <t>SEA</t>
  </si>
  <si>
    <t>LEK</t>
  </si>
  <si>
    <t>Inspected; ok after Standardized as corrective maintenance record.</t>
  </si>
  <si>
    <t>Inspection completed Standardized as corrective maintenance record.</t>
  </si>
  <si>
    <t>CLN</t>
  </si>
  <si>
    <t>Scheduled corrective work order Standardized as corrective maintenance record.</t>
  </si>
  <si>
    <t>312-M-009</t>
  </si>
  <si>
    <t>204-C-005</t>
  </si>
  <si>
    <t>Cleaned and restored Standardized as corrective maintenance record.</t>
  </si>
  <si>
    <t>Valve oscillation reported; signature indicates stiction; packing adjusted. Standardized as corrective maintenance record.</t>
  </si>
  <si>
    <t>PMP-101A</t>
  </si>
  <si>
    <t>Trip - cavitation issue; reset attempted Standardized as protective trip / shutdown event.</t>
  </si>
  <si>
    <t>Checked; impulse line plugging / restriction; fixed Standardized as impulse line restriction.</t>
  </si>
  <si>
    <t>407-FV-851</t>
  </si>
  <si>
    <t>Trip - travel issue; reset attempted Standardized as protective trip / shutdown event.</t>
  </si>
  <si>
    <t>Trip - current/voltage issue; reset attempted Standardized as protective trip / shutdown event.</t>
  </si>
  <si>
    <t>Checked; bearing failure; fixed Standardized as bearing degradation / failure.</t>
  </si>
  <si>
    <t>Checked; packing leakage; fixed Standardized as mechanical seal leakage.</t>
  </si>
  <si>
    <t>302-M-002</t>
  </si>
  <si>
    <t>PMP-103</t>
  </si>
  <si>
    <t>Impulse line restriction found; flushed and restored response. Standardized as impulse line restriction.</t>
  </si>
  <si>
    <t>Checked; signal noise / intermittent communication; fixed Standardized as bearing degradation / failure.</t>
  </si>
  <si>
    <t>Loose terminal found; hot spot on IR; tightened and re-torqued connections. Standardized as overheating / thermal stress.</t>
  </si>
  <si>
    <t>FM-OHT-01</t>
  </si>
  <si>
    <t>Overheating / thermal stress</t>
  </si>
  <si>
    <t>MOT</t>
  </si>
  <si>
    <t>ELEC</t>
  </si>
  <si>
    <t>OHT</t>
  </si>
  <si>
    <t>ELC</t>
  </si>
  <si>
    <t>Checked; dry running / loss of suction; fixed Standardized as corrective maintenance record.</t>
  </si>
  <si>
    <t>Lubricated and rechecked Standardized as corrective maintenance record.</t>
  </si>
  <si>
    <t>Checked; environmental ingress (moisture/corrosion); fixed Standardized as corrective maintenance record.</t>
  </si>
  <si>
    <t>102-P-002B</t>
  </si>
  <si>
    <t>402-FV-765</t>
  </si>
  <si>
    <t>Observed abnormal vibration; suspected cavitation. Seal temperature elevated. Standardized as mechanical seal leakage.</t>
  </si>
  <si>
    <t>Checked; sensor element failure (rtd/tc); fixed Standardized as unspecified failure mode.</t>
  </si>
  <si>
    <t>FM-UNK-01</t>
  </si>
  <si>
    <t>Unspecified failure mode</t>
  </si>
  <si>
    <t>303-M-005</t>
  </si>
  <si>
    <t>PMP-112</t>
  </si>
  <si>
    <t>108-P-004</t>
  </si>
  <si>
    <t>Trip - bearing issue; reset attempted Standardized as protective trip / shutdown event.</t>
  </si>
  <si>
    <t>Checked; calibration drift / out of tolerance; fixed Standardized as instrument drift / calibration deviation.</t>
  </si>
  <si>
    <t>FM-DRF-01</t>
  </si>
  <si>
    <t>Instrument drift / calibration deviation</t>
  </si>
  <si>
    <t>Trip - false issue; reset attempted Standardized as protective trip / shutdown event.</t>
  </si>
  <si>
    <t>306-M-009</t>
  </si>
  <si>
    <t>Trip - surge issue; reset attempted Standardized as protective trip / shutdown event.</t>
  </si>
  <si>
    <t>202-C-006</t>
  </si>
  <si>
    <t>Megger PI low; motor pulled for inspection; winding repair scheduled. Standardized as corrective maintenance record.</t>
  </si>
  <si>
    <t>C</t>
  </si>
  <si>
    <t>Checked; insulation breakdown (winding fault); fixed Standardized as corrective maintenance record.</t>
  </si>
  <si>
    <t>Trip - calibration issue; reset attempted Standardized as protective trip / shutdown event.</t>
  </si>
  <si>
    <t>Trip - packing issue; reset attempted Standardized as protective trip / shutdown event.</t>
  </si>
  <si>
    <t>Trip - terminal/connection issue; reset attempted Standardized as protective trip / shutdown event.</t>
  </si>
  <si>
    <t>Trip - mechanical issue; reset attempted Standardized as protective trip / shutdown event.</t>
  </si>
  <si>
    <t>CMP-201A</t>
  </si>
  <si>
    <t>Checked; lube oil pressure low / contamination; fixed Standardized as corrective maintenance record.</t>
  </si>
  <si>
    <t>Trip - stiction issue; reset attempted Standardized as protective trip / shutdown event.</t>
  </si>
  <si>
    <t>Checked; vfd-related stress / bearing fluting; fixed Standardized as bearing degradation / failure.</t>
  </si>
  <si>
    <t>Checked; terminal/connection looseness; fixed Standardized as corrective maintenance record.</t>
  </si>
  <si>
    <t>MTR-308</t>
  </si>
  <si>
    <t>MTR-305</t>
  </si>
  <si>
    <t>Calibrated and sealed Standardized as mechanical seal leakage.</t>
  </si>
  <si>
    <t>Inspected; issue corrected Standardized as corrective maintenance record.</t>
  </si>
  <si>
    <t>406-FV-969</t>
  </si>
  <si>
    <t>Inspected and recorded baseline Standardized as corrective maintenance record.</t>
  </si>
  <si>
    <t>Trip - signal issue; reset attempted Standardized as protective trip / shutdown event.</t>
  </si>
  <si>
    <t>Checked; actuator air supply issue; fixed Standardized as corrective maintenance record.</t>
  </si>
  <si>
    <t>Trip - dry issue; reset attempted Standardized as protective trip / shutdown event.</t>
  </si>
  <si>
    <t>Checked; bearing degradation / failure; fixed Standardized as bearing degradation / failure.</t>
  </si>
  <si>
    <t>105-P-006A</t>
  </si>
  <si>
    <t>Checked; stiction / sticking; fixed Standardized as corrective maintenance record.</t>
  </si>
  <si>
    <t>Trip - insulation issue; reset attempted Standardized as protective trip / shutdown event.</t>
  </si>
  <si>
    <t>301-M-004</t>
  </si>
  <si>
    <t>PMP-110</t>
  </si>
  <si>
    <t>Trip - environmental issue; reset attempted Standardized as protective trip / shutdown event.</t>
  </si>
  <si>
    <t>Checked; overheat trip; fixed Standardized as protective trip / shutdown event.</t>
  </si>
  <si>
    <t>Trip - overload issue; reset attempted Standardized as protective trip / shutdown event.</t>
  </si>
  <si>
    <t>TX-504</t>
  </si>
  <si>
    <t>CV-410</t>
  </si>
  <si>
    <t>Trip - misalignment issue; reset attempted Standardized as protective trip / shutdown event.</t>
  </si>
  <si>
    <t>Bagus</t>
  </si>
  <si>
    <t>Adit</t>
  </si>
  <si>
    <t>Hasan</t>
  </si>
  <si>
    <t>Suroto</t>
  </si>
  <si>
    <t>Mulyono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</si>
</sst>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8000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left style="thin">
          <color rgb="FFD0D7DE"/>
        </left>
      </border>
    </dxf>
    <dxf>
      <border outline="0">
        <right style="thin">
          <color rgb="FFD0D7DE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MessyWO" displayName="RawMessyWO" ref="A1:H261">
  <autoFilter ref="A1:H261" xr:uid="{00000000-0009-0000-0100-000001000000}"/>
  <tableColumns count="8">
    <tableColumn id="1" xr3:uid="{00000000-0010-0000-0000-000001000000}" name="WO_ID"/>
    <tableColumn id="2" xr3:uid="{00000000-0010-0000-0000-000002000000}" name="WO_Date"/>
    <tableColumn id="3" xr3:uid="{00000000-0010-0000-0000-000003000000}" name="Equipment"/>
    <tableColumn id="4" xr3:uid="{00000000-0010-0000-0000-000004000000}" name="Notes"/>
    <tableColumn id="5" xr3:uid="{00000000-0010-0000-0000-000005000000}" name="Start"/>
    <tableColumn id="6" xr3:uid="{00000000-0010-0000-0000-000006000000}" name="Finish" dataDxfId="2"/>
    <tableColumn id="7" xr3:uid="{00000000-0010-0000-0000-000007000000}" name="Tech" dataDxfId="0"/>
    <tableColumn id="8" xr3:uid="{00000000-0010-0000-0000-000008000000}" name="Are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MaintenanceLog" displayName="CleanMaintenanceLog" ref="A1:AA261">
  <autoFilter ref="A1:AA261" xr:uid="{00000000-0009-0000-0100-000002000000}"/>
  <tableColumns count="27">
    <tableColumn id="1" xr3:uid="{00000000-0010-0000-0100-000001000000}" name="Plant"/>
    <tableColumn id="2" xr3:uid="{00000000-0010-0000-0100-000002000000}" name="WO_ID"/>
    <tableColumn id="3" xr3:uid="{00000000-0010-0000-0100-000003000000}" name="WO_Date"/>
    <tableColumn id="4" xr3:uid="{00000000-0010-0000-0100-000004000000}" name="Asset_ID"/>
    <tableColumn id="5" xr3:uid="{00000000-0010-0000-0100-000005000000}" name="Area"/>
    <tableColumn id="6" xr3:uid="{00000000-0010-0000-0100-000006000000}" name="Technician"/>
    <tableColumn id="7" xr3:uid="{00000000-0010-0000-0100-000007000000}" name="Raw_Notes"/>
    <tableColumn id="8" xr3:uid="{00000000-0010-0000-0100-000008000000}" name="Clean_Notes"/>
    <tableColumn id="9" xr3:uid="{00000000-0010-0000-0100-000009000000}" name="Event_Type"/>
    <tableColumn id="10" xr3:uid="{00000000-0010-0000-0100-00000A000000}" name="Observation_Status"/>
    <tableColumn id="11" xr3:uid="{00000000-0010-0000-0100-00000B000000}" name="Failure_Start"/>
    <tableColumn id="12" xr3:uid="{00000000-0010-0000-0100-00000C000000}" name="Detection_Time"/>
    <tableColumn id="13" xr3:uid="{00000000-0010-0000-0100-00000D000000}" name="Repair_Start"/>
    <tableColumn id="14" xr3:uid="{00000000-0010-0000-0100-00000E000000}" name="Return_To_Service"/>
    <tableColumn id="15" xr3:uid="{00000000-0010-0000-0100-00000F000000}" name="Downtime_hr"/>
    <tableColumn id="16" xr3:uid="{00000000-0010-0000-0100-000010000000}" name="Planned_Flag"/>
    <tableColumn id="17" xr3:uid="{00000000-0010-0000-0100-000011000000}" name="Production_Impact"/>
    <tableColumn id="18" xr3:uid="{00000000-0010-0000-0100-000012000000}" name="Failure_Mode_Code"/>
    <tableColumn id="19" xr3:uid="{00000000-0010-0000-0100-000013000000}" name="Failure_Mode_Text"/>
    <tableColumn id="20" xr3:uid="{00000000-0010-0000-0100-000014000000}" name="Data_Quality_Flag"/>
    <tableColumn id="21" xr3:uid="{00000000-0010-0000-0100-000015000000}" name="Include_For_Reliability"/>
    <tableColumn id="22" xr3:uid="{00000000-0010-0000-0100-000016000000}" name="Component_Code"/>
    <tableColumn id="23" xr3:uid="{00000000-0010-0000-0100-000017000000}" name="Location_Code"/>
    <tableColumn id="24" xr3:uid="{00000000-0010-0000-0100-000018000000}" name="Event_Code"/>
    <tableColumn id="25" xr3:uid="{00000000-0010-0000-0100-000019000000}" name="Agent_Code"/>
    <tableColumn id="26" xr3:uid="{00000000-0010-0000-0100-00001A000000}" name="Response_Code"/>
    <tableColumn id="27" xr3:uid="{00000000-0010-0000-0100-00001B000000}" name="CLEAR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4" customWidth="1"/>
    <col min="2" max="2" width="12" customWidth="1"/>
    <col min="3" max="3" width="16" customWidth="1"/>
    <col min="4" max="4" width="70" customWidth="1"/>
    <col min="5" max="6" width="20" customWidth="1"/>
    <col min="7" max="7" width="12" customWidth="1"/>
    <col min="8" max="8" width="14" customWidth="1"/>
  </cols>
  <sheetData>
    <row r="1" spans="1:8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35">
      <c r="A2" s="2" t="s">
        <v>8</v>
      </c>
      <c r="B2" s="2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14" t="s">
        <v>1406</v>
      </c>
      <c r="H2" s="2" t="s">
        <v>14</v>
      </c>
    </row>
    <row r="3" spans="1:8" ht="20" customHeight="1" x14ac:dyDescent="0.35">
      <c r="A3" s="2" t="s">
        <v>15</v>
      </c>
      <c r="B3" s="2" t="s">
        <v>16</v>
      </c>
      <c r="C3" s="3" t="s">
        <v>17</v>
      </c>
      <c r="D3" s="4" t="s">
        <v>18</v>
      </c>
      <c r="E3" s="3"/>
      <c r="F3" s="3" t="s">
        <v>19</v>
      </c>
      <c r="G3" s="14" t="s">
        <v>20</v>
      </c>
      <c r="H3" s="2" t="s">
        <v>21</v>
      </c>
    </row>
    <row r="4" spans="1:8" ht="20" customHeight="1" x14ac:dyDescent="0.35">
      <c r="A4" s="2" t="s">
        <v>22</v>
      </c>
      <c r="B4" s="2" t="s">
        <v>23</v>
      </c>
      <c r="C4" s="3" t="s">
        <v>24</v>
      </c>
      <c r="D4" s="4" t="s">
        <v>25</v>
      </c>
      <c r="E4" s="3"/>
      <c r="F4" s="3" t="s">
        <v>26</v>
      </c>
      <c r="G4" s="14" t="s">
        <v>1404</v>
      </c>
      <c r="H4" s="2" t="s">
        <v>14</v>
      </c>
    </row>
    <row r="5" spans="1:8" ht="20" customHeight="1" x14ac:dyDescent="0.35">
      <c r="A5" s="2" t="s">
        <v>27</v>
      </c>
      <c r="B5" s="2" t="s">
        <v>28</v>
      </c>
      <c r="C5" s="3" t="s">
        <v>29</v>
      </c>
      <c r="D5" s="4" t="s">
        <v>30</v>
      </c>
      <c r="E5" s="3" t="s">
        <v>31</v>
      </c>
      <c r="F5" s="3" t="s">
        <v>32</v>
      </c>
      <c r="G5" s="14" t="s">
        <v>33</v>
      </c>
      <c r="H5" s="2" t="s">
        <v>34</v>
      </c>
    </row>
    <row r="6" spans="1:8" ht="20" customHeight="1" x14ac:dyDescent="0.35">
      <c r="A6" s="2" t="s">
        <v>35</v>
      </c>
      <c r="B6" s="2" t="s">
        <v>36</v>
      </c>
      <c r="C6" s="3" t="s">
        <v>37</v>
      </c>
      <c r="D6" s="4" t="s">
        <v>38</v>
      </c>
      <c r="E6" s="3" t="s">
        <v>39</v>
      </c>
      <c r="F6" s="3" t="s">
        <v>40</v>
      </c>
      <c r="G6" s="14" t="s">
        <v>1405</v>
      </c>
      <c r="H6" s="2" t="s">
        <v>41</v>
      </c>
    </row>
    <row r="7" spans="1:8" ht="20" customHeight="1" x14ac:dyDescent="0.35">
      <c r="A7" s="2" t="s">
        <v>42</v>
      </c>
      <c r="B7" s="2" t="s">
        <v>43</v>
      </c>
      <c r="C7" s="3" t="s">
        <v>44</v>
      </c>
      <c r="D7" s="4" t="s">
        <v>45</v>
      </c>
      <c r="E7" s="3"/>
      <c r="F7" s="3" t="s">
        <v>46</v>
      </c>
      <c r="G7" s="14" t="s">
        <v>33</v>
      </c>
      <c r="H7" s="2" t="s">
        <v>47</v>
      </c>
    </row>
    <row r="8" spans="1:8" ht="20" customHeight="1" x14ac:dyDescent="0.35">
      <c r="A8" s="2" t="s">
        <v>48</v>
      </c>
      <c r="B8" s="2" t="s">
        <v>49</v>
      </c>
      <c r="C8" s="3" t="s">
        <v>50</v>
      </c>
      <c r="D8" s="4" t="s">
        <v>51</v>
      </c>
      <c r="E8" s="3" t="s">
        <v>52</v>
      </c>
      <c r="F8" s="3" t="s">
        <v>53</v>
      </c>
      <c r="G8" s="14" t="s">
        <v>20</v>
      </c>
      <c r="H8" s="2" t="s">
        <v>47</v>
      </c>
    </row>
    <row r="9" spans="1:8" ht="20" customHeight="1" x14ac:dyDescent="0.35">
      <c r="A9" s="2" t="s">
        <v>54</v>
      </c>
      <c r="B9" s="2" t="s">
        <v>55</v>
      </c>
      <c r="C9" s="3" t="s">
        <v>56</v>
      </c>
      <c r="D9" s="4" t="s">
        <v>57</v>
      </c>
      <c r="E9" s="3" t="s">
        <v>58</v>
      </c>
      <c r="F9" s="3" t="s">
        <v>59</v>
      </c>
      <c r="G9" s="14" t="s">
        <v>1406</v>
      </c>
      <c r="H9" s="2" t="s">
        <v>60</v>
      </c>
    </row>
    <row r="10" spans="1:8" ht="20" customHeight="1" x14ac:dyDescent="0.35">
      <c r="A10" s="2" t="s">
        <v>61</v>
      </c>
      <c r="B10" s="2" t="s">
        <v>62</v>
      </c>
      <c r="C10" s="3" t="s">
        <v>63</v>
      </c>
      <c r="D10" s="4" t="s">
        <v>64</v>
      </c>
      <c r="E10" s="3" t="s">
        <v>65</v>
      </c>
      <c r="F10" s="3" t="s">
        <v>66</v>
      </c>
      <c r="G10" s="14" t="s">
        <v>20</v>
      </c>
      <c r="H10" s="2" t="s">
        <v>21</v>
      </c>
    </row>
    <row r="11" spans="1:8" ht="20" customHeight="1" x14ac:dyDescent="0.35">
      <c r="A11" s="2" t="s">
        <v>67</v>
      </c>
      <c r="B11" s="2" t="s">
        <v>68</v>
      </c>
      <c r="C11" s="3" t="s">
        <v>69</v>
      </c>
      <c r="D11" s="4" t="s">
        <v>70</v>
      </c>
      <c r="E11" s="3" t="s">
        <v>71</v>
      </c>
      <c r="F11" s="3" t="s">
        <v>72</v>
      </c>
      <c r="G11" s="14" t="s">
        <v>1408</v>
      </c>
      <c r="H11" s="2" t="s">
        <v>47</v>
      </c>
    </row>
    <row r="12" spans="1:8" ht="20" customHeight="1" x14ac:dyDescent="0.35">
      <c r="A12" s="2" t="s">
        <v>73</v>
      </c>
      <c r="B12" s="2" t="s">
        <v>74</v>
      </c>
      <c r="C12" s="3" t="s">
        <v>75</v>
      </c>
      <c r="D12" s="4" t="s">
        <v>76</v>
      </c>
      <c r="E12" s="3" t="s">
        <v>77</v>
      </c>
      <c r="F12" s="3" t="s">
        <v>78</v>
      </c>
      <c r="G12" s="14" t="s">
        <v>1408</v>
      </c>
      <c r="H12" s="2" t="s">
        <v>47</v>
      </c>
    </row>
    <row r="13" spans="1:8" ht="20" customHeight="1" x14ac:dyDescent="0.35">
      <c r="A13" s="2" t="s">
        <v>79</v>
      </c>
      <c r="B13" s="2" t="s">
        <v>80</v>
      </c>
      <c r="C13" s="3" t="s">
        <v>81</v>
      </c>
      <c r="D13" s="4" t="s">
        <v>82</v>
      </c>
      <c r="E13" s="3" t="s">
        <v>83</v>
      </c>
      <c r="F13" s="3" t="s">
        <v>84</v>
      </c>
      <c r="G13" s="14" t="s">
        <v>1407</v>
      </c>
      <c r="H13" s="2" t="s">
        <v>34</v>
      </c>
    </row>
    <row r="14" spans="1:8" ht="20" customHeight="1" x14ac:dyDescent="0.35">
      <c r="A14" s="2" t="s">
        <v>85</v>
      </c>
      <c r="B14" s="2" t="s">
        <v>86</v>
      </c>
      <c r="C14" s="3" t="s">
        <v>87</v>
      </c>
      <c r="D14" s="4" t="s">
        <v>88</v>
      </c>
      <c r="E14" s="3" t="s">
        <v>89</v>
      </c>
      <c r="F14" s="3" t="s">
        <v>90</v>
      </c>
      <c r="G14" s="14" t="s">
        <v>20</v>
      </c>
      <c r="H14" s="2" t="s">
        <v>60</v>
      </c>
    </row>
    <row r="15" spans="1:8" ht="20" customHeight="1" x14ac:dyDescent="0.35">
      <c r="A15" s="2" t="s">
        <v>91</v>
      </c>
      <c r="B15" s="2" t="s">
        <v>92</v>
      </c>
      <c r="C15" s="3" t="s">
        <v>93</v>
      </c>
      <c r="D15" s="4" t="s">
        <v>94</v>
      </c>
      <c r="E15" s="3" t="s">
        <v>95</v>
      </c>
      <c r="F15" s="3" t="s">
        <v>96</v>
      </c>
      <c r="G15" s="14" t="s">
        <v>1408</v>
      </c>
      <c r="H15" s="2" t="s">
        <v>47</v>
      </c>
    </row>
    <row r="16" spans="1:8" ht="20" customHeight="1" x14ac:dyDescent="0.35">
      <c r="A16" s="2" t="s">
        <v>97</v>
      </c>
      <c r="B16" s="2" t="s">
        <v>98</v>
      </c>
      <c r="C16" s="3" t="s">
        <v>99</v>
      </c>
      <c r="D16" s="4" t="s">
        <v>100</v>
      </c>
      <c r="E16" s="3" t="s">
        <v>101</v>
      </c>
      <c r="F16" s="3" t="s">
        <v>102</v>
      </c>
      <c r="G16" s="14" t="s">
        <v>1404</v>
      </c>
      <c r="H16" s="2" t="s">
        <v>41</v>
      </c>
    </row>
    <row r="17" spans="1:8" ht="20" customHeight="1" x14ac:dyDescent="0.35">
      <c r="A17" s="2" t="s">
        <v>103</v>
      </c>
      <c r="B17" s="2" t="s">
        <v>104</v>
      </c>
      <c r="C17" s="3" t="s">
        <v>105</v>
      </c>
      <c r="D17" s="4" t="s">
        <v>100</v>
      </c>
      <c r="E17" s="3" t="s">
        <v>106</v>
      </c>
      <c r="F17" s="3" t="s">
        <v>107</v>
      </c>
      <c r="G17" s="14" t="s">
        <v>33</v>
      </c>
      <c r="H17" s="2" t="s">
        <v>41</v>
      </c>
    </row>
    <row r="18" spans="1:8" ht="20" customHeight="1" x14ac:dyDescent="0.35">
      <c r="A18" s="2" t="s">
        <v>108</v>
      </c>
      <c r="B18" s="2" t="s">
        <v>109</v>
      </c>
      <c r="C18" s="3" t="s">
        <v>110</v>
      </c>
      <c r="D18" s="4" t="s">
        <v>111</v>
      </c>
      <c r="E18" s="3" t="s">
        <v>112</v>
      </c>
      <c r="F18" s="3"/>
      <c r="G18" s="14" t="s">
        <v>20</v>
      </c>
      <c r="H18" s="2" t="s">
        <v>47</v>
      </c>
    </row>
    <row r="19" spans="1:8" ht="20" customHeight="1" x14ac:dyDescent="0.35">
      <c r="A19" s="2" t="s">
        <v>113</v>
      </c>
      <c r="B19" s="2" t="s">
        <v>114</v>
      </c>
      <c r="C19" s="3" t="s">
        <v>115</v>
      </c>
      <c r="D19" s="4" t="s">
        <v>116</v>
      </c>
      <c r="E19" s="3" t="s">
        <v>117</v>
      </c>
      <c r="F19" s="3" t="s">
        <v>118</v>
      </c>
      <c r="G19" s="14" t="s">
        <v>20</v>
      </c>
      <c r="H19" s="2" t="s">
        <v>47</v>
      </c>
    </row>
    <row r="20" spans="1:8" ht="20" customHeight="1" x14ac:dyDescent="0.35">
      <c r="A20" s="2" t="s">
        <v>119</v>
      </c>
      <c r="B20" s="2" t="s">
        <v>120</v>
      </c>
      <c r="C20" s="3" t="s">
        <v>105</v>
      </c>
      <c r="D20" s="4" t="s">
        <v>121</v>
      </c>
      <c r="E20" s="3" t="s">
        <v>122</v>
      </c>
      <c r="F20" s="3" t="s">
        <v>123</v>
      </c>
      <c r="G20" s="14" t="s">
        <v>1406</v>
      </c>
      <c r="H20" s="2" t="s">
        <v>41</v>
      </c>
    </row>
    <row r="21" spans="1:8" ht="20" customHeight="1" x14ac:dyDescent="0.35">
      <c r="A21" s="2" t="s">
        <v>124</v>
      </c>
      <c r="B21" s="2" t="s">
        <v>125</v>
      </c>
      <c r="C21" s="3" t="s">
        <v>126</v>
      </c>
      <c r="D21" s="4" t="s">
        <v>127</v>
      </c>
      <c r="E21" s="3" t="s">
        <v>128</v>
      </c>
      <c r="F21" s="3"/>
      <c r="G21" s="14" t="s">
        <v>1408</v>
      </c>
      <c r="H21" s="2" t="s">
        <v>47</v>
      </c>
    </row>
    <row r="22" spans="1:8" ht="20" customHeight="1" x14ac:dyDescent="0.35">
      <c r="A22" s="2" t="s">
        <v>129</v>
      </c>
      <c r="B22" s="2" t="s">
        <v>130</v>
      </c>
      <c r="C22" s="3" t="s">
        <v>131</v>
      </c>
      <c r="D22" s="4" t="s">
        <v>132</v>
      </c>
      <c r="E22" s="3" t="s">
        <v>133</v>
      </c>
      <c r="F22" s="3" t="s">
        <v>134</v>
      </c>
      <c r="G22" s="14" t="s">
        <v>1406</v>
      </c>
      <c r="H22" s="2" t="s">
        <v>34</v>
      </c>
    </row>
    <row r="23" spans="1:8" ht="20" customHeight="1" x14ac:dyDescent="0.35">
      <c r="A23" s="2" t="s">
        <v>135</v>
      </c>
      <c r="B23" s="2" t="s">
        <v>136</v>
      </c>
      <c r="C23" s="3" t="s">
        <v>137</v>
      </c>
      <c r="D23" s="4" t="s">
        <v>116</v>
      </c>
      <c r="E23" s="3" t="s">
        <v>138</v>
      </c>
      <c r="F23" s="3" t="s">
        <v>139</v>
      </c>
      <c r="G23" s="14" t="s">
        <v>1404</v>
      </c>
      <c r="H23" s="2" t="s">
        <v>60</v>
      </c>
    </row>
    <row r="24" spans="1:8" ht="20" customHeight="1" x14ac:dyDescent="0.35">
      <c r="A24" s="2" t="s">
        <v>140</v>
      </c>
      <c r="B24" s="2" t="s">
        <v>141</v>
      </c>
      <c r="C24" s="3" t="s">
        <v>142</v>
      </c>
      <c r="D24" s="4" t="s">
        <v>45</v>
      </c>
      <c r="E24" s="3"/>
      <c r="F24" s="3" t="s">
        <v>143</v>
      </c>
      <c r="G24" s="14" t="s">
        <v>144</v>
      </c>
      <c r="H24" s="2" t="s">
        <v>60</v>
      </c>
    </row>
    <row r="25" spans="1:8" ht="20" customHeight="1" x14ac:dyDescent="0.35">
      <c r="A25" s="2" t="s">
        <v>145</v>
      </c>
      <c r="B25" s="2" t="s">
        <v>146</v>
      </c>
      <c r="C25" s="3" t="s">
        <v>147</v>
      </c>
      <c r="D25" s="4" t="s">
        <v>82</v>
      </c>
      <c r="E25" s="3" t="s">
        <v>148</v>
      </c>
      <c r="F25" s="3" t="s">
        <v>149</v>
      </c>
      <c r="G25" s="14" t="s">
        <v>1407</v>
      </c>
      <c r="H25" s="2" t="s">
        <v>21</v>
      </c>
    </row>
    <row r="26" spans="1:8" ht="20" customHeight="1" x14ac:dyDescent="0.35">
      <c r="A26" s="2" t="s">
        <v>150</v>
      </c>
      <c r="B26" s="2" t="s">
        <v>151</v>
      </c>
      <c r="C26" s="3" t="s">
        <v>152</v>
      </c>
      <c r="D26" s="4" t="s">
        <v>82</v>
      </c>
      <c r="E26" s="3" t="s">
        <v>153</v>
      </c>
      <c r="F26" s="3" t="s">
        <v>154</v>
      </c>
      <c r="G26" s="14" t="s">
        <v>1407</v>
      </c>
      <c r="H26" s="2" t="s">
        <v>47</v>
      </c>
    </row>
    <row r="27" spans="1:8" ht="20" customHeight="1" x14ac:dyDescent="0.35">
      <c r="A27" s="2" t="s">
        <v>155</v>
      </c>
      <c r="B27" s="2" t="s">
        <v>156</v>
      </c>
      <c r="C27" s="3" t="s">
        <v>157</v>
      </c>
      <c r="D27" s="4" t="s">
        <v>116</v>
      </c>
      <c r="E27" s="3" t="s">
        <v>158</v>
      </c>
      <c r="F27" s="3" t="s">
        <v>159</v>
      </c>
      <c r="G27" s="14" t="s">
        <v>1408</v>
      </c>
      <c r="H27" s="2" t="s">
        <v>47</v>
      </c>
    </row>
    <row r="28" spans="1:8" ht="20" customHeight="1" x14ac:dyDescent="0.35">
      <c r="A28" s="2" t="s">
        <v>160</v>
      </c>
      <c r="B28" s="2" t="s">
        <v>161</v>
      </c>
      <c r="C28" s="3" t="s">
        <v>162</v>
      </c>
      <c r="D28" s="4" t="s">
        <v>45</v>
      </c>
      <c r="E28" s="3"/>
      <c r="F28" s="3" t="s">
        <v>163</v>
      </c>
      <c r="G28" s="14" t="s">
        <v>1404</v>
      </c>
      <c r="H28" s="2" t="s">
        <v>47</v>
      </c>
    </row>
    <row r="29" spans="1:8" ht="20" customHeight="1" x14ac:dyDescent="0.35">
      <c r="A29" s="2" t="s">
        <v>164</v>
      </c>
      <c r="B29" s="2" t="s">
        <v>165</v>
      </c>
      <c r="C29" s="3" t="s">
        <v>115</v>
      </c>
      <c r="D29" s="4" t="s">
        <v>76</v>
      </c>
      <c r="E29" s="3" t="s">
        <v>166</v>
      </c>
      <c r="F29" s="3" t="s">
        <v>167</v>
      </c>
      <c r="G29" s="14" t="s">
        <v>1406</v>
      </c>
      <c r="H29" s="2" t="s">
        <v>47</v>
      </c>
    </row>
    <row r="30" spans="1:8" ht="20" customHeight="1" x14ac:dyDescent="0.35">
      <c r="A30" s="2" t="s">
        <v>168</v>
      </c>
      <c r="B30" s="2" t="s">
        <v>23</v>
      </c>
      <c r="C30" s="3" t="s">
        <v>169</v>
      </c>
      <c r="D30" s="4" t="s">
        <v>116</v>
      </c>
      <c r="E30" s="3" t="s">
        <v>170</v>
      </c>
      <c r="F30" s="3" t="s">
        <v>171</v>
      </c>
      <c r="G30" s="14" t="s">
        <v>1407</v>
      </c>
      <c r="H30" s="2" t="s">
        <v>14</v>
      </c>
    </row>
    <row r="31" spans="1:8" ht="20" customHeight="1" x14ac:dyDescent="0.35">
      <c r="A31" s="2" t="s">
        <v>172</v>
      </c>
      <c r="B31" s="2" t="s">
        <v>173</v>
      </c>
      <c r="C31" s="3" t="s">
        <v>174</v>
      </c>
      <c r="D31" s="4" t="s">
        <v>82</v>
      </c>
      <c r="E31" s="3" t="s">
        <v>175</v>
      </c>
      <c r="F31" s="3" t="s">
        <v>176</v>
      </c>
      <c r="G31" s="14" t="s">
        <v>20</v>
      </c>
      <c r="H31" s="2" t="s">
        <v>47</v>
      </c>
    </row>
    <row r="32" spans="1:8" ht="20" customHeight="1" x14ac:dyDescent="0.35">
      <c r="A32" s="2" t="s">
        <v>177</v>
      </c>
      <c r="B32" s="2" t="s">
        <v>178</v>
      </c>
      <c r="C32" s="3" t="s">
        <v>179</v>
      </c>
      <c r="D32" s="4" t="s">
        <v>82</v>
      </c>
      <c r="E32" s="3" t="s">
        <v>180</v>
      </c>
      <c r="F32" s="3" t="s">
        <v>181</v>
      </c>
      <c r="G32" s="14" t="s">
        <v>1407</v>
      </c>
      <c r="H32" s="2" t="s">
        <v>47</v>
      </c>
    </row>
    <row r="33" spans="1:8" ht="20" customHeight="1" x14ac:dyDescent="0.35">
      <c r="A33" s="2" t="s">
        <v>182</v>
      </c>
      <c r="B33" s="2" t="s">
        <v>183</v>
      </c>
      <c r="C33" s="3" t="s">
        <v>152</v>
      </c>
      <c r="D33" s="4" t="s">
        <v>82</v>
      </c>
      <c r="E33" s="3" t="s">
        <v>184</v>
      </c>
      <c r="F33" s="3" t="s">
        <v>185</v>
      </c>
      <c r="G33" s="14" t="s">
        <v>1408</v>
      </c>
      <c r="H33" s="2" t="s">
        <v>47</v>
      </c>
    </row>
    <row r="34" spans="1:8" ht="20" customHeight="1" x14ac:dyDescent="0.35">
      <c r="A34" s="2" t="s">
        <v>186</v>
      </c>
      <c r="B34" s="2" t="s">
        <v>187</v>
      </c>
      <c r="C34" s="3" t="s">
        <v>188</v>
      </c>
      <c r="D34" s="4" t="s">
        <v>82</v>
      </c>
      <c r="E34" s="3" t="s">
        <v>189</v>
      </c>
      <c r="F34" s="3" t="s">
        <v>190</v>
      </c>
      <c r="G34" s="14" t="s">
        <v>1404</v>
      </c>
      <c r="H34" s="2" t="s">
        <v>60</v>
      </c>
    </row>
    <row r="35" spans="1:8" ht="20" customHeight="1" x14ac:dyDescent="0.35">
      <c r="A35" s="2" t="s">
        <v>191</v>
      </c>
      <c r="B35" s="2" t="s">
        <v>192</v>
      </c>
      <c r="C35" s="3" t="s">
        <v>193</v>
      </c>
      <c r="D35" s="4" t="s">
        <v>194</v>
      </c>
      <c r="E35" s="3" t="s">
        <v>195</v>
      </c>
      <c r="F35" s="3"/>
      <c r="G35" s="14" t="s">
        <v>1408</v>
      </c>
      <c r="H35" s="2" t="s">
        <v>41</v>
      </c>
    </row>
    <row r="36" spans="1:8" ht="20" customHeight="1" x14ac:dyDescent="0.35">
      <c r="A36" s="2" t="s">
        <v>196</v>
      </c>
      <c r="B36" s="2" t="s">
        <v>197</v>
      </c>
      <c r="C36" s="3" t="s">
        <v>198</v>
      </c>
      <c r="D36" s="4" t="s">
        <v>121</v>
      </c>
      <c r="E36" s="3" t="s">
        <v>199</v>
      </c>
      <c r="F36" s="3" t="s">
        <v>200</v>
      </c>
      <c r="G36" s="14" t="s">
        <v>1404</v>
      </c>
      <c r="H36" s="2" t="s">
        <v>21</v>
      </c>
    </row>
    <row r="37" spans="1:8" ht="20" customHeight="1" x14ac:dyDescent="0.35">
      <c r="A37" s="2" t="s">
        <v>201</v>
      </c>
      <c r="B37" s="2" t="s">
        <v>202</v>
      </c>
      <c r="C37" s="3" t="s">
        <v>203</v>
      </c>
      <c r="D37" s="4" t="s">
        <v>204</v>
      </c>
      <c r="E37" s="3" t="s">
        <v>205</v>
      </c>
      <c r="F37" s="3" t="s">
        <v>206</v>
      </c>
      <c r="G37" s="14" t="s">
        <v>1405</v>
      </c>
      <c r="H37" s="2" t="s">
        <v>207</v>
      </c>
    </row>
    <row r="38" spans="1:8" ht="20" customHeight="1" x14ac:dyDescent="0.35">
      <c r="A38" s="2" t="s">
        <v>208</v>
      </c>
      <c r="B38" s="2" t="s">
        <v>209</v>
      </c>
      <c r="C38" s="3" t="s">
        <v>210</v>
      </c>
      <c r="D38" s="4" t="s">
        <v>82</v>
      </c>
      <c r="E38" s="3"/>
      <c r="F38" s="3" t="s">
        <v>211</v>
      </c>
      <c r="G38" s="14" t="s">
        <v>1406</v>
      </c>
      <c r="H38" s="2" t="s">
        <v>47</v>
      </c>
    </row>
    <row r="39" spans="1:8" ht="20" customHeight="1" x14ac:dyDescent="0.35">
      <c r="A39" s="2" t="s">
        <v>212</v>
      </c>
      <c r="B39" s="2" t="s">
        <v>213</v>
      </c>
      <c r="C39" s="3" t="s">
        <v>214</v>
      </c>
      <c r="D39" s="4" t="s">
        <v>51</v>
      </c>
      <c r="E39" s="3" t="s">
        <v>215</v>
      </c>
      <c r="F39" s="3" t="s">
        <v>216</v>
      </c>
      <c r="G39" s="14" t="s">
        <v>33</v>
      </c>
      <c r="H39" s="2" t="s">
        <v>60</v>
      </c>
    </row>
    <row r="40" spans="1:8" ht="20" customHeight="1" x14ac:dyDescent="0.35">
      <c r="A40" s="2" t="s">
        <v>217</v>
      </c>
      <c r="B40" s="2" t="s">
        <v>218</v>
      </c>
      <c r="C40" s="3" t="s">
        <v>219</v>
      </c>
      <c r="D40" s="4" t="s">
        <v>220</v>
      </c>
      <c r="E40" s="3" t="s">
        <v>221</v>
      </c>
      <c r="F40" s="3" t="s">
        <v>222</v>
      </c>
      <c r="G40" s="14" t="s">
        <v>33</v>
      </c>
      <c r="H40" s="2" t="s">
        <v>41</v>
      </c>
    </row>
    <row r="41" spans="1:8" ht="20" customHeight="1" x14ac:dyDescent="0.35">
      <c r="A41" s="2" t="s">
        <v>223</v>
      </c>
      <c r="B41" s="2" t="s">
        <v>224</v>
      </c>
      <c r="C41" s="3" t="s">
        <v>225</v>
      </c>
      <c r="D41" s="4" t="s">
        <v>226</v>
      </c>
      <c r="E41" s="3" t="s">
        <v>227</v>
      </c>
      <c r="F41" s="3" t="s">
        <v>228</v>
      </c>
      <c r="G41" s="14" t="s">
        <v>1408</v>
      </c>
      <c r="H41" s="2" t="s">
        <v>41</v>
      </c>
    </row>
    <row r="42" spans="1:8" ht="20" customHeight="1" x14ac:dyDescent="0.35">
      <c r="A42" s="2" t="s">
        <v>229</v>
      </c>
      <c r="B42" s="2" t="s">
        <v>230</v>
      </c>
      <c r="C42" s="3" t="s">
        <v>231</v>
      </c>
      <c r="D42" s="4" t="s">
        <v>232</v>
      </c>
      <c r="E42" s="3" t="s">
        <v>233</v>
      </c>
      <c r="F42" s="3" t="s">
        <v>234</v>
      </c>
      <c r="G42" s="14" t="s">
        <v>1405</v>
      </c>
      <c r="H42" s="2" t="s">
        <v>14</v>
      </c>
    </row>
    <row r="43" spans="1:8" ht="20" customHeight="1" x14ac:dyDescent="0.35">
      <c r="A43" s="2" t="s">
        <v>235</v>
      </c>
      <c r="B43" s="2" t="s">
        <v>236</v>
      </c>
      <c r="C43" s="3" t="s">
        <v>237</v>
      </c>
      <c r="D43" s="4" t="s">
        <v>116</v>
      </c>
      <c r="E43" s="3" t="s">
        <v>238</v>
      </c>
      <c r="F43" s="3" t="s">
        <v>239</v>
      </c>
      <c r="G43" s="14" t="s">
        <v>1407</v>
      </c>
      <c r="H43" s="2" t="s">
        <v>14</v>
      </c>
    </row>
    <row r="44" spans="1:8" ht="20" customHeight="1" x14ac:dyDescent="0.35">
      <c r="A44" s="2" t="s">
        <v>240</v>
      </c>
      <c r="B44" s="2" t="s">
        <v>241</v>
      </c>
      <c r="C44" s="3" t="s">
        <v>242</v>
      </c>
      <c r="D44" s="4" t="s">
        <v>243</v>
      </c>
      <c r="E44" s="3" t="s">
        <v>244</v>
      </c>
      <c r="F44" s="3" t="s">
        <v>245</v>
      </c>
      <c r="G44" s="14" t="s">
        <v>1408</v>
      </c>
      <c r="H44" s="2" t="s">
        <v>41</v>
      </c>
    </row>
    <row r="45" spans="1:8" ht="20" customHeight="1" x14ac:dyDescent="0.35">
      <c r="A45" s="2" t="s">
        <v>246</v>
      </c>
      <c r="B45" s="2" t="s">
        <v>247</v>
      </c>
      <c r="C45" s="3" t="s">
        <v>248</v>
      </c>
      <c r="D45" s="4" t="s">
        <v>249</v>
      </c>
      <c r="E45" s="3" t="s">
        <v>250</v>
      </c>
      <c r="F45" s="3" t="s">
        <v>251</v>
      </c>
      <c r="G45" s="14" t="s">
        <v>20</v>
      </c>
      <c r="H45" s="2" t="s">
        <v>41</v>
      </c>
    </row>
    <row r="46" spans="1:8" ht="20" customHeight="1" x14ac:dyDescent="0.35">
      <c r="A46" s="2" t="s">
        <v>252</v>
      </c>
      <c r="B46" s="2" t="s">
        <v>253</v>
      </c>
      <c r="C46" s="3" t="s">
        <v>254</v>
      </c>
      <c r="D46" s="4" t="s">
        <v>255</v>
      </c>
      <c r="E46" s="3" t="s">
        <v>256</v>
      </c>
      <c r="F46" s="3"/>
      <c r="G46" s="14" t="s">
        <v>1405</v>
      </c>
      <c r="H46" s="2" t="s">
        <v>41</v>
      </c>
    </row>
    <row r="47" spans="1:8" ht="20" customHeight="1" x14ac:dyDescent="0.35">
      <c r="A47" s="2" t="s">
        <v>257</v>
      </c>
      <c r="B47" s="2" t="s">
        <v>258</v>
      </c>
      <c r="C47" s="3" t="s">
        <v>259</v>
      </c>
      <c r="D47" s="4" t="s">
        <v>38</v>
      </c>
      <c r="E47" s="3" t="s">
        <v>260</v>
      </c>
      <c r="F47" s="3" t="s">
        <v>261</v>
      </c>
      <c r="G47" s="14" t="s">
        <v>1407</v>
      </c>
      <c r="H47" s="2" t="s">
        <v>60</v>
      </c>
    </row>
    <row r="48" spans="1:8" ht="20" customHeight="1" x14ac:dyDescent="0.35">
      <c r="A48" s="2" t="s">
        <v>262</v>
      </c>
      <c r="B48" s="2" t="s">
        <v>263</v>
      </c>
      <c r="C48" s="3" t="s">
        <v>264</v>
      </c>
      <c r="D48" s="4" t="s">
        <v>265</v>
      </c>
      <c r="E48" s="3" t="s">
        <v>266</v>
      </c>
      <c r="F48" s="3" t="s">
        <v>267</v>
      </c>
      <c r="G48" s="14" t="s">
        <v>1406</v>
      </c>
      <c r="H48" s="2" t="s">
        <v>34</v>
      </c>
    </row>
    <row r="49" spans="1:8" ht="20" customHeight="1" x14ac:dyDescent="0.35">
      <c r="A49" s="2" t="s">
        <v>268</v>
      </c>
      <c r="B49" s="2" t="s">
        <v>269</v>
      </c>
      <c r="C49" s="3" t="s">
        <v>270</v>
      </c>
      <c r="D49" s="4" t="s">
        <v>116</v>
      </c>
      <c r="E49" s="3" t="s">
        <v>271</v>
      </c>
      <c r="F49" s="3" t="s">
        <v>272</v>
      </c>
      <c r="G49" s="14" t="s">
        <v>33</v>
      </c>
      <c r="H49" s="2" t="s">
        <v>41</v>
      </c>
    </row>
    <row r="50" spans="1:8" ht="20" customHeight="1" x14ac:dyDescent="0.35">
      <c r="A50" s="2" t="s">
        <v>273</v>
      </c>
      <c r="B50" s="2" t="s">
        <v>274</v>
      </c>
      <c r="C50" s="3" t="s">
        <v>275</v>
      </c>
      <c r="D50" s="4" t="s">
        <v>276</v>
      </c>
      <c r="E50" s="3" t="s">
        <v>277</v>
      </c>
      <c r="F50" s="3" t="s">
        <v>278</v>
      </c>
      <c r="G50" s="14" t="s">
        <v>1405</v>
      </c>
      <c r="H50" s="2" t="s">
        <v>41</v>
      </c>
    </row>
    <row r="51" spans="1:8" ht="20" customHeight="1" x14ac:dyDescent="0.35">
      <c r="A51" s="2" t="s">
        <v>279</v>
      </c>
      <c r="B51" s="2" t="s">
        <v>280</v>
      </c>
      <c r="C51" s="3" t="s">
        <v>281</v>
      </c>
      <c r="D51" s="4" t="s">
        <v>282</v>
      </c>
      <c r="E51" s="3" t="s">
        <v>283</v>
      </c>
      <c r="F51" s="3"/>
      <c r="G51" s="14" t="s">
        <v>1406</v>
      </c>
      <c r="H51" s="2" t="s">
        <v>21</v>
      </c>
    </row>
    <row r="52" spans="1:8" ht="20" customHeight="1" x14ac:dyDescent="0.35">
      <c r="A52" s="2" t="s">
        <v>284</v>
      </c>
      <c r="B52" s="2" t="s">
        <v>285</v>
      </c>
      <c r="C52" s="3" t="s">
        <v>286</v>
      </c>
      <c r="D52" s="4" t="s">
        <v>82</v>
      </c>
      <c r="E52" s="3" t="s">
        <v>287</v>
      </c>
      <c r="F52" s="3" t="s">
        <v>288</v>
      </c>
      <c r="G52" s="14" t="s">
        <v>33</v>
      </c>
      <c r="H52" s="2" t="s">
        <v>47</v>
      </c>
    </row>
    <row r="53" spans="1:8" ht="20" customHeight="1" x14ac:dyDescent="0.35">
      <c r="A53" s="2" t="s">
        <v>289</v>
      </c>
      <c r="B53" s="2" t="s">
        <v>290</v>
      </c>
      <c r="C53" s="3" t="s">
        <v>291</v>
      </c>
      <c r="D53" s="4" t="s">
        <v>116</v>
      </c>
      <c r="E53" s="3" t="s">
        <v>292</v>
      </c>
      <c r="F53" s="3" t="s">
        <v>293</v>
      </c>
      <c r="G53" s="14" t="s">
        <v>1406</v>
      </c>
      <c r="H53" s="2" t="s">
        <v>41</v>
      </c>
    </row>
    <row r="54" spans="1:8" ht="20" customHeight="1" x14ac:dyDescent="0.35">
      <c r="A54" s="2" t="s">
        <v>294</v>
      </c>
      <c r="B54" s="2" t="s">
        <v>295</v>
      </c>
      <c r="C54" s="3" t="s">
        <v>296</v>
      </c>
      <c r="D54" s="4" t="s">
        <v>116</v>
      </c>
      <c r="E54" s="3" t="s">
        <v>297</v>
      </c>
      <c r="F54" s="3"/>
      <c r="G54" s="14" t="s">
        <v>20</v>
      </c>
      <c r="H54" s="2" t="s">
        <v>47</v>
      </c>
    </row>
    <row r="55" spans="1:8" ht="20" customHeight="1" x14ac:dyDescent="0.35">
      <c r="A55" s="2" t="s">
        <v>298</v>
      </c>
      <c r="B55" s="2" t="s">
        <v>299</v>
      </c>
      <c r="C55" s="3" t="s">
        <v>300</v>
      </c>
      <c r="D55" s="4" t="s">
        <v>116</v>
      </c>
      <c r="E55" s="3" t="s">
        <v>301</v>
      </c>
      <c r="F55" s="3" t="s">
        <v>302</v>
      </c>
      <c r="G55" s="14" t="s">
        <v>1405</v>
      </c>
      <c r="H55" s="2" t="s">
        <v>60</v>
      </c>
    </row>
    <row r="56" spans="1:8" ht="20" customHeight="1" x14ac:dyDescent="0.35">
      <c r="A56" s="2" t="s">
        <v>303</v>
      </c>
      <c r="B56" s="2" t="s">
        <v>304</v>
      </c>
      <c r="C56" s="3" t="s">
        <v>179</v>
      </c>
      <c r="D56" s="4" t="s">
        <v>82</v>
      </c>
      <c r="E56" s="3" t="s">
        <v>305</v>
      </c>
      <c r="F56" s="3" t="s">
        <v>306</v>
      </c>
      <c r="G56" s="14" t="s">
        <v>1408</v>
      </c>
      <c r="H56" s="2" t="s">
        <v>47</v>
      </c>
    </row>
    <row r="57" spans="1:8" ht="20" customHeight="1" x14ac:dyDescent="0.35">
      <c r="A57" s="2" t="s">
        <v>307</v>
      </c>
      <c r="B57" s="2" t="s">
        <v>308</v>
      </c>
      <c r="C57" s="3" t="s">
        <v>309</v>
      </c>
      <c r="D57" s="4" t="s">
        <v>121</v>
      </c>
      <c r="E57" s="3" t="s">
        <v>310</v>
      </c>
      <c r="F57" s="3"/>
      <c r="G57" s="14" t="s">
        <v>1405</v>
      </c>
      <c r="H57" s="2" t="s">
        <v>21</v>
      </c>
    </row>
    <row r="58" spans="1:8" ht="20" customHeight="1" x14ac:dyDescent="0.35">
      <c r="A58" s="2" t="s">
        <v>311</v>
      </c>
      <c r="B58" s="2" t="s">
        <v>312</v>
      </c>
      <c r="C58" s="3" t="s">
        <v>254</v>
      </c>
      <c r="D58" s="4" t="s">
        <v>313</v>
      </c>
      <c r="E58" s="3" t="s">
        <v>314</v>
      </c>
      <c r="F58" s="3" t="s">
        <v>315</v>
      </c>
      <c r="G58" s="14" t="s">
        <v>33</v>
      </c>
      <c r="H58" s="2" t="s">
        <v>41</v>
      </c>
    </row>
    <row r="59" spans="1:8" ht="20" customHeight="1" x14ac:dyDescent="0.35">
      <c r="A59" s="2" t="s">
        <v>316</v>
      </c>
      <c r="B59" s="2" t="s">
        <v>317</v>
      </c>
      <c r="C59" s="3" t="s">
        <v>318</v>
      </c>
      <c r="D59" s="4" t="s">
        <v>319</v>
      </c>
      <c r="E59" s="3" t="s">
        <v>320</v>
      </c>
      <c r="F59" s="3"/>
      <c r="G59" s="14" t="s">
        <v>1405</v>
      </c>
      <c r="H59" s="2" t="s">
        <v>60</v>
      </c>
    </row>
    <row r="60" spans="1:8" ht="20" customHeight="1" x14ac:dyDescent="0.35">
      <c r="A60" s="2" t="s">
        <v>321</v>
      </c>
      <c r="B60" s="2" t="s">
        <v>322</v>
      </c>
      <c r="C60" s="3" t="s">
        <v>323</v>
      </c>
      <c r="D60" s="4" t="s">
        <v>324</v>
      </c>
      <c r="E60" s="3" t="s">
        <v>325</v>
      </c>
      <c r="F60" s="3" t="s">
        <v>326</v>
      </c>
      <c r="G60" s="14" t="s">
        <v>33</v>
      </c>
      <c r="H60" s="2" t="s">
        <v>14</v>
      </c>
    </row>
    <row r="61" spans="1:8" ht="20" customHeight="1" x14ac:dyDescent="0.35">
      <c r="A61" s="2" t="s">
        <v>327</v>
      </c>
      <c r="B61" s="2" t="s">
        <v>328</v>
      </c>
      <c r="C61" s="3" t="s">
        <v>329</v>
      </c>
      <c r="D61" s="4" t="s">
        <v>204</v>
      </c>
      <c r="E61" s="3" t="s">
        <v>330</v>
      </c>
      <c r="F61" s="3"/>
      <c r="G61" s="14" t="s">
        <v>144</v>
      </c>
      <c r="H61" s="2" t="s">
        <v>34</v>
      </c>
    </row>
    <row r="62" spans="1:8" ht="20" customHeight="1" x14ac:dyDescent="0.35">
      <c r="A62" s="2" t="s">
        <v>331</v>
      </c>
      <c r="B62" s="2" t="s">
        <v>332</v>
      </c>
      <c r="C62" s="3" t="s">
        <v>203</v>
      </c>
      <c r="D62" s="4" t="s">
        <v>82</v>
      </c>
      <c r="E62" s="3" t="s">
        <v>333</v>
      </c>
      <c r="F62" s="3" t="s">
        <v>334</v>
      </c>
      <c r="G62" s="14" t="s">
        <v>20</v>
      </c>
      <c r="H62" s="2" t="s">
        <v>207</v>
      </c>
    </row>
    <row r="63" spans="1:8" ht="20" customHeight="1" x14ac:dyDescent="0.35">
      <c r="A63" s="2" t="s">
        <v>335</v>
      </c>
      <c r="B63" s="2" t="s">
        <v>336</v>
      </c>
      <c r="C63" s="3" t="s">
        <v>337</v>
      </c>
      <c r="D63" s="4" t="s">
        <v>82</v>
      </c>
      <c r="E63" s="3" t="s">
        <v>338</v>
      </c>
      <c r="F63" s="3" t="s">
        <v>339</v>
      </c>
      <c r="G63" s="14" t="s">
        <v>1406</v>
      </c>
      <c r="H63" s="2" t="s">
        <v>41</v>
      </c>
    </row>
    <row r="64" spans="1:8" ht="20" customHeight="1" x14ac:dyDescent="0.35">
      <c r="A64" s="2" t="s">
        <v>340</v>
      </c>
      <c r="B64" s="2" t="s">
        <v>341</v>
      </c>
      <c r="C64" s="3" t="s">
        <v>342</v>
      </c>
      <c r="D64" s="4" t="s">
        <v>116</v>
      </c>
      <c r="E64" s="3" t="s">
        <v>343</v>
      </c>
      <c r="F64" s="3" t="s">
        <v>344</v>
      </c>
      <c r="G64" s="14" t="s">
        <v>33</v>
      </c>
      <c r="H64" s="2" t="s">
        <v>47</v>
      </c>
    </row>
    <row r="65" spans="1:8" ht="20" customHeight="1" x14ac:dyDescent="0.35">
      <c r="A65" s="2" t="s">
        <v>345</v>
      </c>
      <c r="B65" s="2" t="s">
        <v>346</v>
      </c>
      <c r="C65" s="3" t="s">
        <v>347</v>
      </c>
      <c r="D65" s="4" t="s">
        <v>348</v>
      </c>
      <c r="E65" s="3" t="s">
        <v>349</v>
      </c>
      <c r="F65" s="3" t="s">
        <v>350</v>
      </c>
      <c r="G65" s="14" t="s">
        <v>1408</v>
      </c>
      <c r="H65" s="2" t="s">
        <v>41</v>
      </c>
    </row>
    <row r="66" spans="1:8" ht="20" customHeight="1" x14ac:dyDescent="0.35">
      <c r="A66" s="2" t="s">
        <v>351</v>
      </c>
      <c r="B66" s="2" t="s">
        <v>352</v>
      </c>
      <c r="C66" s="3" t="s">
        <v>353</v>
      </c>
      <c r="D66" s="4" t="s">
        <v>232</v>
      </c>
      <c r="E66" s="3" t="s">
        <v>354</v>
      </c>
      <c r="F66" s="3" t="s">
        <v>355</v>
      </c>
      <c r="G66" s="14" t="s">
        <v>20</v>
      </c>
      <c r="H66" s="2" t="s">
        <v>60</v>
      </c>
    </row>
    <row r="67" spans="1:8" ht="20" customHeight="1" x14ac:dyDescent="0.35">
      <c r="A67" s="2" t="s">
        <v>356</v>
      </c>
      <c r="B67" s="2" t="s">
        <v>357</v>
      </c>
      <c r="C67" s="3" t="s">
        <v>358</v>
      </c>
      <c r="D67" s="4" t="s">
        <v>359</v>
      </c>
      <c r="E67" s="3" t="s">
        <v>360</v>
      </c>
      <c r="F67" s="3" t="s">
        <v>361</v>
      </c>
      <c r="G67" s="14" t="s">
        <v>20</v>
      </c>
      <c r="H67" s="2" t="s">
        <v>47</v>
      </c>
    </row>
    <row r="68" spans="1:8" ht="20" customHeight="1" x14ac:dyDescent="0.35">
      <c r="A68" s="2" t="s">
        <v>362</v>
      </c>
      <c r="B68" s="2" t="s">
        <v>363</v>
      </c>
      <c r="C68" s="3" t="s">
        <v>364</v>
      </c>
      <c r="D68" s="4" t="s">
        <v>116</v>
      </c>
      <c r="E68" s="3" t="s">
        <v>365</v>
      </c>
      <c r="F68" s="3" t="s">
        <v>366</v>
      </c>
      <c r="G68" s="14" t="s">
        <v>1408</v>
      </c>
      <c r="H68" s="2" t="s">
        <v>34</v>
      </c>
    </row>
    <row r="69" spans="1:8" ht="20" customHeight="1" x14ac:dyDescent="0.35">
      <c r="A69" s="2" t="s">
        <v>367</v>
      </c>
      <c r="B69" s="2" t="s">
        <v>368</v>
      </c>
      <c r="C69" s="3" t="s">
        <v>369</v>
      </c>
      <c r="D69" s="4" t="s">
        <v>370</v>
      </c>
      <c r="E69" s="3" t="s">
        <v>371</v>
      </c>
      <c r="F69" s="3"/>
      <c r="G69" s="14" t="s">
        <v>1407</v>
      </c>
      <c r="H69" s="2" t="s">
        <v>47</v>
      </c>
    </row>
    <row r="70" spans="1:8" ht="20" customHeight="1" x14ac:dyDescent="0.35">
      <c r="A70" s="2" t="s">
        <v>372</v>
      </c>
      <c r="B70" s="2" t="s">
        <v>373</v>
      </c>
      <c r="C70" s="3" t="s">
        <v>225</v>
      </c>
      <c r="D70" s="4" t="s">
        <v>116</v>
      </c>
      <c r="E70" s="3" t="s">
        <v>374</v>
      </c>
      <c r="F70" s="3" t="s">
        <v>375</v>
      </c>
      <c r="G70" s="14" t="s">
        <v>20</v>
      </c>
      <c r="H70" s="2" t="s">
        <v>41</v>
      </c>
    </row>
    <row r="71" spans="1:8" ht="20" customHeight="1" x14ac:dyDescent="0.35">
      <c r="A71" s="2" t="s">
        <v>376</v>
      </c>
      <c r="B71" s="2" t="s">
        <v>377</v>
      </c>
      <c r="C71" s="3" t="s">
        <v>193</v>
      </c>
      <c r="D71" s="4" t="s">
        <v>378</v>
      </c>
      <c r="E71" s="3" t="s">
        <v>379</v>
      </c>
      <c r="F71" s="3" t="s">
        <v>380</v>
      </c>
      <c r="G71" s="14" t="s">
        <v>1407</v>
      </c>
      <c r="H71" s="2" t="s">
        <v>41</v>
      </c>
    </row>
    <row r="72" spans="1:8" ht="20" customHeight="1" x14ac:dyDescent="0.35">
      <c r="A72" s="2" t="s">
        <v>381</v>
      </c>
      <c r="B72" s="2" t="s">
        <v>382</v>
      </c>
      <c r="C72" s="3" t="s">
        <v>383</v>
      </c>
      <c r="D72" s="4" t="s">
        <v>132</v>
      </c>
      <c r="E72" s="3" t="s">
        <v>384</v>
      </c>
      <c r="F72" s="3" t="s">
        <v>385</v>
      </c>
      <c r="G72" s="14" t="s">
        <v>144</v>
      </c>
      <c r="H72" s="2" t="s">
        <v>47</v>
      </c>
    </row>
    <row r="73" spans="1:8" ht="20" customHeight="1" x14ac:dyDescent="0.35">
      <c r="A73" s="2" t="s">
        <v>386</v>
      </c>
      <c r="B73" s="2" t="s">
        <v>387</v>
      </c>
      <c r="C73" s="3" t="s">
        <v>388</v>
      </c>
      <c r="D73" s="4" t="s">
        <v>389</v>
      </c>
      <c r="E73" s="3" t="s">
        <v>390</v>
      </c>
      <c r="F73" s="3" t="s">
        <v>391</v>
      </c>
      <c r="G73" s="14" t="s">
        <v>1408</v>
      </c>
      <c r="H73" s="2" t="s">
        <v>207</v>
      </c>
    </row>
    <row r="74" spans="1:8" ht="20" customHeight="1" x14ac:dyDescent="0.35">
      <c r="A74" s="2" t="s">
        <v>392</v>
      </c>
      <c r="B74" s="2" t="s">
        <v>393</v>
      </c>
      <c r="C74" s="3" t="s">
        <v>383</v>
      </c>
      <c r="D74" s="4" t="s">
        <v>82</v>
      </c>
      <c r="E74" s="3"/>
      <c r="F74" s="3" t="s">
        <v>394</v>
      </c>
      <c r="G74" s="14" t="s">
        <v>144</v>
      </c>
      <c r="H74" s="2" t="s">
        <v>47</v>
      </c>
    </row>
    <row r="75" spans="1:8" ht="20" customHeight="1" x14ac:dyDescent="0.35">
      <c r="A75" s="2" t="s">
        <v>395</v>
      </c>
      <c r="B75" s="2" t="s">
        <v>396</v>
      </c>
      <c r="C75" s="3" t="s">
        <v>397</v>
      </c>
      <c r="D75" s="4" t="s">
        <v>121</v>
      </c>
      <c r="E75" s="3" t="s">
        <v>398</v>
      </c>
      <c r="F75" s="3" t="s">
        <v>399</v>
      </c>
      <c r="G75" s="14" t="s">
        <v>1404</v>
      </c>
      <c r="H75" s="2" t="s">
        <v>21</v>
      </c>
    </row>
    <row r="76" spans="1:8" ht="20" customHeight="1" x14ac:dyDescent="0.35">
      <c r="A76" s="2" t="s">
        <v>400</v>
      </c>
      <c r="B76" s="2" t="s">
        <v>401</v>
      </c>
      <c r="C76" s="3" t="s">
        <v>402</v>
      </c>
      <c r="D76" s="4" t="s">
        <v>313</v>
      </c>
      <c r="E76" s="3" t="s">
        <v>403</v>
      </c>
      <c r="F76" s="3" t="s">
        <v>404</v>
      </c>
      <c r="G76" s="14" t="s">
        <v>33</v>
      </c>
      <c r="H76" s="2" t="s">
        <v>47</v>
      </c>
    </row>
    <row r="77" spans="1:8" ht="20" customHeight="1" x14ac:dyDescent="0.35">
      <c r="A77" s="2" t="s">
        <v>405</v>
      </c>
      <c r="B77" s="2" t="s">
        <v>406</v>
      </c>
      <c r="C77" s="3" t="s">
        <v>388</v>
      </c>
      <c r="D77" s="4" t="s">
        <v>76</v>
      </c>
      <c r="E77" s="3" t="s">
        <v>407</v>
      </c>
      <c r="F77" s="3" t="s">
        <v>408</v>
      </c>
      <c r="G77" s="14" t="s">
        <v>144</v>
      </c>
      <c r="H77" s="2" t="s">
        <v>207</v>
      </c>
    </row>
    <row r="78" spans="1:8" ht="20" customHeight="1" x14ac:dyDescent="0.35">
      <c r="A78" s="2" t="s">
        <v>409</v>
      </c>
      <c r="B78" s="2" t="s">
        <v>410</v>
      </c>
      <c r="C78" s="3" t="s">
        <v>411</v>
      </c>
      <c r="D78" s="4" t="s">
        <v>412</v>
      </c>
      <c r="E78" s="3"/>
      <c r="F78" s="3" t="s">
        <v>413</v>
      </c>
      <c r="G78" s="14" t="s">
        <v>144</v>
      </c>
      <c r="H78" s="2" t="s">
        <v>41</v>
      </c>
    </row>
    <row r="79" spans="1:8" ht="20" customHeight="1" x14ac:dyDescent="0.35">
      <c r="A79" s="2" t="s">
        <v>414</v>
      </c>
      <c r="B79" s="2" t="s">
        <v>263</v>
      </c>
      <c r="C79" s="3" t="s">
        <v>415</v>
      </c>
      <c r="D79" s="4" t="s">
        <v>416</v>
      </c>
      <c r="E79" s="3" t="s">
        <v>417</v>
      </c>
      <c r="F79" s="3" t="s">
        <v>418</v>
      </c>
      <c r="G79" s="14" t="s">
        <v>1407</v>
      </c>
      <c r="H79" s="2" t="s">
        <v>60</v>
      </c>
    </row>
    <row r="80" spans="1:8" ht="20" customHeight="1" x14ac:dyDescent="0.35">
      <c r="A80" s="2" t="s">
        <v>419</v>
      </c>
      <c r="B80" s="2" t="s">
        <v>420</v>
      </c>
      <c r="C80" s="3" t="s">
        <v>421</v>
      </c>
      <c r="D80" s="4" t="s">
        <v>116</v>
      </c>
      <c r="E80" s="3" t="s">
        <v>422</v>
      </c>
      <c r="F80" s="3" t="s">
        <v>423</v>
      </c>
      <c r="G80" s="14" t="s">
        <v>144</v>
      </c>
      <c r="H80" s="2" t="s">
        <v>21</v>
      </c>
    </row>
    <row r="81" spans="1:8" ht="20" customHeight="1" x14ac:dyDescent="0.35">
      <c r="A81" s="2" t="s">
        <v>424</v>
      </c>
      <c r="B81" s="2" t="s">
        <v>425</v>
      </c>
      <c r="C81" s="3" t="s">
        <v>63</v>
      </c>
      <c r="D81" s="4" t="s">
        <v>116</v>
      </c>
      <c r="E81" s="3" t="s">
        <v>426</v>
      </c>
      <c r="F81" s="3" t="s">
        <v>427</v>
      </c>
      <c r="G81" s="14" t="s">
        <v>1405</v>
      </c>
      <c r="H81" s="2" t="s">
        <v>21</v>
      </c>
    </row>
    <row r="82" spans="1:8" ht="20" customHeight="1" x14ac:dyDescent="0.35">
      <c r="A82" s="2" t="s">
        <v>428</v>
      </c>
      <c r="B82" s="2" t="s">
        <v>429</v>
      </c>
      <c r="C82" s="3" t="s">
        <v>430</v>
      </c>
      <c r="D82" s="4" t="s">
        <v>100</v>
      </c>
      <c r="E82" s="3" t="s">
        <v>431</v>
      </c>
      <c r="F82" s="3" t="s">
        <v>432</v>
      </c>
      <c r="G82" s="14" t="s">
        <v>1407</v>
      </c>
      <c r="H82" s="2" t="s">
        <v>47</v>
      </c>
    </row>
    <row r="83" spans="1:8" ht="20" customHeight="1" x14ac:dyDescent="0.35">
      <c r="A83" s="2" t="s">
        <v>433</v>
      </c>
      <c r="B83" s="2" t="s">
        <v>434</v>
      </c>
      <c r="C83" s="3" t="s">
        <v>435</v>
      </c>
      <c r="D83" s="4" t="s">
        <v>436</v>
      </c>
      <c r="E83" s="3" t="s">
        <v>437</v>
      </c>
      <c r="F83" s="3" t="s">
        <v>438</v>
      </c>
      <c r="G83" s="14" t="s">
        <v>1407</v>
      </c>
      <c r="H83" s="2" t="s">
        <v>47</v>
      </c>
    </row>
    <row r="84" spans="1:8" ht="20" customHeight="1" x14ac:dyDescent="0.35">
      <c r="A84" s="2" t="s">
        <v>439</v>
      </c>
      <c r="B84" s="2" t="s">
        <v>440</v>
      </c>
      <c r="C84" s="3" t="s">
        <v>441</v>
      </c>
      <c r="D84" s="4" t="s">
        <v>442</v>
      </c>
      <c r="E84" s="3" t="s">
        <v>443</v>
      </c>
      <c r="F84" s="3" t="s">
        <v>444</v>
      </c>
      <c r="G84" s="14" t="s">
        <v>144</v>
      </c>
      <c r="H84" s="2" t="s">
        <v>47</v>
      </c>
    </row>
    <row r="85" spans="1:8" ht="20" customHeight="1" x14ac:dyDescent="0.35">
      <c r="A85" s="2" t="s">
        <v>445</v>
      </c>
      <c r="B85" s="2" t="s">
        <v>446</v>
      </c>
      <c r="C85" s="3" t="s">
        <v>447</v>
      </c>
      <c r="D85" s="4" t="s">
        <v>82</v>
      </c>
      <c r="E85" s="3" t="s">
        <v>448</v>
      </c>
      <c r="F85" s="3" t="s">
        <v>449</v>
      </c>
      <c r="G85" s="14" t="s">
        <v>20</v>
      </c>
      <c r="H85" s="2" t="s">
        <v>41</v>
      </c>
    </row>
    <row r="86" spans="1:8" ht="20" customHeight="1" x14ac:dyDescent="0.35">
      <c r="A86" s="2" t="s">
        <v>450</v>
      </c>
      <c r="B86" s="2" t="s">
        <v>451</v>
      </c>
      <c r="C86" s="3" t="s">
        <v>452</v>
      </c>
      <c r="D86" s="4" t="s">
        <v>453</v>
      </c>
      <c r="E86" s="3" t="s">
        <v>454</v>
      </c>
      <c r="F86" s="3"/>
      <c r="G86" s="14" t="s">
        <v>1408</v>
      </c>
      <c r="H86" s="2" t="s">
        <v>34</v>
      </c>
    </row>
    <row r="87" spans="1:8" ht="20" customHeight="1" x14ac:dyDescent="0.35">
      <c r="A87" s="2" t="s">
        <v>455</v>
      </c>
      <c r="B87" s="2" t="s">
        <v>456</v>
      </c>
      <c r="C87" s="3" t="s">
        <v>24</v>
      </c>
      <c r="D87" s="4" t="s">
        <v>194</v>
      </c>
      <c r="E87" s="3"/>
      <c r="F87" s="3" t="s">
        <v>457</v>
      </c>
      <c r="G87" s="14" t="s">
        <v>1404</v>
      </c>
      <c r="H87" s="2" t="s">
        <v>14</v>
      </c>
    </row>
    <row r="88" spans="1:8" ht="20" customHeight="1" x14ac:dyDescent="0.35">
      <c r="A88" s="2" t="s">
        <v>458</v>
      </c>
      <c r="B88" s="2" t="s">
        <v>459</v>
      </c>
      <c r="C88" s="3" t="s">
        <v>460</v>
      </c>
      <c r="D88" s="4" t="s">
        <v>461</v>
      </c>
      <c r="E88" s="3" t="s">
        <v>462</v>
      </c>
      <c r="F88" s="3" t="s">
        <v>463</v>
      </c>
      <c r="G88" s="14" t="s">
        <v>33</v>
      </c>
      <c r="H88" s="2" t="s">
        <v>207</v>
      </c>
    </row>
    <row r="89" spans="1:8" ht="20" customHeight="1" x14ac:dyDescent="0.35">
      <c r="A89" s="2" t="s">
        <v>464</v>
      </c>
      <c r="B89" s="2" t="s">
        <v>465</v>
      </c>
      <c r="C89" s="3" t="s">
        <v>466</v>
      </c>
      <c r="D89" s="4" t="s">
        <v>313</v>
      </c>
      <c r="E89" s="3" t="s">
        <v>467</v>
      </c>
      <c r="F89" s="3" t="s">
        <v>468</v>
      </c>
      <c r="G89" s="14" t="s">
        <v>20</v>
      </c>
      <c r="H89" s="2" t="s">
        <v>21</v>
      </c>
    </row>
    <row r="90" spans="1:8" ht="20" customHeight="1" x14ac:dyDescent="0.35">
      <c r="A90" s="2" t="s">
        <v>469</v>
      </c>
      <c r="B90" s="2" t="s">
        <v>470</v>
      </c>
      <c r="C90" s="3" t="s">
        <v>115</v>
      </c>
      <c r="D90" s="4" t="s">
        <v>82</v>
      </c>
      <c r="E90" s="3"/>
      <c r="F90" s="3" t="s">
        <v>471</v>
      </c>
      <c r="G90" s="14" t="s">
        <v>1408</v>
      </c>
      <c r="H90" s="2" t="s">
        <v>47</v>
      </c>
    </row>
    <row r="91" spans="1:8" ht="20" customHeight="1" x14ac:dyDescent="0.35">
      <c r="A91" s="2" t="s">
        <v>472</v>
      </c>
      <c r="B91" s="2" t="s">
        <v>473</v>
      </c>
      <c r="C91" s="3" t="s">
        <v>291</v>
      </c>
      <c r="D91" s="4" t="s">
        <v>474</v>
      </c>
      <c r="E91" s="3" t="s">
        <v>475</v>
      </c>
      <c r="F91" s="3" t="s">
        <v>476</v>
      </c>
      <c r="G91" s="14" t="s">
        <v>33</v>
      </c>
      <c r="H91" s="2" t="s">
        <v>41</v>
      </c>
    </row>
    <row r="92" spans="1:8" ht="20" customHeight="1" x14ac:dyDescent="0.35">
      <c r="A92" s="2" t="s">
        <v>477</v>
      </c>
      <c r="B92" s="2" t="s">
        <v>478</v>
      </c>
      <c r="C92" s="3" t="s">
        <v>479</v>
      </c>
      <c r="D92" s="4" t="s">
        <v>70</v>
      </c>
      <c r="E92" s="3" t="s">
        <v>480</v>
      </c>
      <c r="F92" s="3" t="s">
        <v>481</v>
      </c>
      <c r="G92" s="14" t="s">
        <v>1406</v>
      </c>
      <c r="H92" s="2" t="s">
        <v>34</v>
      </c>
    </row>
    <row r="93" spans="1:8" ht="20" customHeight="1" x14ac:dyDescent="0.35">
      <c r="A93" s="2" t="s">
        <v>482</v>
      </c>
      <c r="B93" s="2" t="s">
        <v>483</v>
      </c>
      <c r="C93" s="3" t="s">
        <v>484</v>
      </c>
      <c r="D93" s="4" t="s">
        <v>313</v>
      </c>
      <c r="E93" s="3" t="s">
        <v>485</v>
      </c>
      <c r="F93" s="3" t="s">
        <v>486</v>
      </c>
      <c r="G93" s="14" t="s">
        <v>1406</v>
      </c>
      <c r="H93" s="2" t="s">
        <v>60</v>
      </c>
    </row>
    <row r="94" spans="1:8" ht="20" customHeight="1" x14ac:dyDescent="0.35">
      <c r="A94" s="2" t="s">
        <v>487</v>
      </c>
      <c r="B94" s="2" t="s">
        <v>488</v>
      </c>
      <c r="C94" s="3" t="s">
        <v>489</v>
      </c>
      <c r="D94" s="4" t="s">
        <v>194</v>
      </c>
      <c r="E94" s="3"/>
      <c r="F94" s="3" t="s">
        <v>490</v>
      </c>
      <c r="G94" s="14" t="s">
        <v>1404</v>
      </c>
      <c r="H94" s="2" t="s">
        <v>41</v>
      </c>
    </row>
    <row r="95" spans="1:8" ht="20" customHeight="1" x14ac:dyDescent="0.35">
      <c r="A95" s="2" t="s">
        <v>491</v>
      </c>
      <c r="B95" s="2" t="s">
        <v>492</v>
      </c>
      <c r="C95" s="3" t="s">
        <v>248</v>
      </c>
      <c r="D95" s="4" t="s">
        <v>378</v>
      </c>
      <c r="E95" s="3" t="s">
        <v>493</v>
      </c>
      <c r="F95" s="3" t="s">
        <v>494</v>
      </c>
      <c r="G95" s="14" t="s">
        <v>1404</v>
      </c>
      <c r="H95" s="2" t="s">
        <v>41</v>
      </c>
    </row>
    <row r="96" spans="1:8" ht="20" customHeight="1" x14ac:dyDescent="0.35">
      <c r="A96" s="2" t="s">
        <v>495</v>
      </c>
      <c r="B96" s="2" t="s">
        <v>496</v>
      </c>
      <c r="C96" s="3" t="s">
        <v>497</v>
      </c>
      <c r="D96" s="4" t="s">
        <v>498</v>
      </c>
      <c r="E96" s="3"/>
      <c r="F96" s="3" t="s">
        <v>499</v>
      </c>
      <c r="G96" s="14" t="s">
        <v>144</v>
      </c>
      <c r="H96" s="2" t="s">
        <v>60</v>
      </c>
    </row>
    <row r="97" spans="1:8" ht="20" customHeight="1" x14ac:dyDescent="0.35">
      <c r="A97" s="2" t="s">
        <v>500</v>
      </c>
      <c r="B97" s="2" t="s">
        <v>501</v>
      </c>
      <c r="C97" s="3" t="s">
        <v>502</v>
      </c>
      <c r="D97" s="4" t="s">
        <v>313</v>
      </c>
      <c r="E97" s="3" t="s">
        <v>503</v>
      </c>
      <c r="F97" s="3" t="s">
        <v>504</v>
      </c>
      <c r="G97" s="14" t="s">
        <v>144</v>
      </c>
      <c r="H97" s="2" t="s">
        <v>21</v>
      </c>
    </row>
    <row r="98" spans="1:8" ht="20" customHeight="1" x14ac:dyDescent="0.35">
      <c r="A98" s="2" t="s">
        <v>505</v>
      </c>
      <c r="B98" s="2" t="s">
        <v>506</v>
      </c>
      <c r="C98" s="3" t="s">
        <v>507</v>
      </c>
      <c r="D98" s="4" t="s">
        <v>508</v>
      </c>
      <c r="E98" s="3" t="s">
        <v>509</v>
      </c>
      <c r="F98" s="3"/>
      <c r="G98" s="14" t="s">
        <v>144</v>
      </c>
      <c r="H98" s="2" t="s">
        <v>34</v>
      </c>
    </row>
    <row r="99" spans="1:8" ht="20" customHeight="1" x14ac:dyDescent="0.35">
      <c r="A99" s="2" t="s">
        <v>510</v>
      </c>
      <c r="B99" s="2" t="s">
        <v>511</v>
      </c>
      <c r="C99" s="3" t="s">
        <v>24</v>
      </c>
      <c r="D99" s="4" t="s">
        <v>512</v>
      </c>
      <c r="E99" s="3"/>
      <c r="F99" s="3" t="s">
        <v>513</v>
      </c>
      <c r="G99" s="14" t="s">
        <v>1406</v>
      </c>
      <c r="H99" s="2" t="s">
        <v>14</v>
      </c>
    </row>
    <row r="100" spans="1:8" ht="20" customHeight="1" x14ac:dyDescent="0.35">
      <c r="A100" s="2" t="s">
        <v>514</v>
      </c>
      <c r="B100" s="2" t="s">
        <v>515</v>
      </c>
      <c r="C100" s="3" t="s">
        <v>516</v>
      </c>
      <c r="D100" s="4" t="s">
        <v>82</v>
      </c>
      <c r="E100" s="3" t="s">
        <v>517</v>
      </c>
      <c r="F100" s="3" t="s">
        <v>518</v>
      </c>
      <c r="G100" s="14" t="s">
        <v>1408</v>
      </c>
      <c r="H100" s="2" t="s">
        <v>41</v>
      </c>
    </row>
    <row r="101" spans="1:8" ht="20" customHeight="1" x14ac:dyDescent="0.35">
      <c r="A101" s="2" t="s">
        <v>519</v>
      </c>
      <c r="B101" s="2" t="s">
        <v>520</v>
      </c>
      <c r="C101" s="3" t="s">
        <v>521</v>
      </c>
      <c r="D101" s="4" t="s">
        <v>76</v>
      </c>
      <c r="E101" s="3" t="s">
        <v>522</v>
      </c>
      <c r="F101" s="3" t="s">
        <v>523</v>
      </c>
      <c r="G101" s="14" t="s">
        <v>1406</v>
      </c>
      <c r="H101" s="2" t="s">
        <v>60</v>
      </c>
    </row>
    <row r="102" spans="1:8" ht="20" customHeight="1" x14ac:dyDescent="0.35">
      <c r="A102" s="2" t="s">
        <v>524</v>
      </c>
      <c r="B102" s="2" t="s">
        <v>525</v>
      </c>
      <c r="C102" s="3" t="s">
        <v>270</v>
      </c>
      <c r="D102" s="4" t="s">
        <v>526</v>
      </c>
      <c r="E102" s="3" t="s">
        <v>527</v>
      </c>
      <c r="F102" s="3" t="s">
        <v>528</v>
      </c>
      <c r="G102" s="14" t="s">
        <v>1407</v>
      </c>
      <c r="H102" s="2" t="s">
        <v>41</v>
      </c>
    </row>
    <row r="103" spans="1:8" ht="20" customHeight="1" x14ac:dyDescent="0.35">
      <c r="A103" s="2" t="s">
        <v>529</v>
      </c>
      <c r="B103" s="2" t="s">
        <v>530</v>
      </c>
      <c r="C103" s="3" t="s">
        <v>531</v>
      </c>
      <c r="D103" s="4" t="s">
        <v>532</v>
      </c>
      <c r="E103" s="3" t="s">
        <v>533</v>
      </c>
      <c r="F103" s="3" t="s">
        <v>534</v>
      </c>
      <c r="G103" s="14" t="s">
        <v>1404</v>
      </c>
      <c r="H103" s="2" t="s">
        <v>47</v>
      </c>
    </row>
    <row r="104" spans="1:8" ht="20" customHeight="1" x14ac:dyDescent="0.35">
      <c r="A104" s="2" t="s">
        <v>535</v>
      </c>
      <c r="B104" s="2" t="s">
        <v>16</v>
      </c>
      <c r="C104" s="3" t="s">
        <v>531</v>
      </c>
      <c r="D104" s="4" t="s">
        <v>82</v>
      </c>
      <c r="E104" s="3" t="s">
        <v>536</v>
      </c>
      <c r="F104" s="3" t="s">
        <v>537</v>
      </c>
      <c r="G104" s="14" t="s">
        <v>33</v>
      </c>
      <c r="H104" s="2" t="s">
        <v>47</v>
      </c>
    </row>
    <row r="105" spans="1:8" ht="20" customHeight="1" x14ac:dyDescent="0.35">
      <c r="A105" s="2" t="s">
        <v>538</v>
      </c>
      <c r="B105" s="2" t="s">
        <v>539</v>
      </c>
      <c r="C105" s="3" t="s">
        <v>540</v>
      </c>
      <c r="D105" s="4" t="s">
        <v>132</v>
      </c>
      <c r="E105" s="3"/>
      <c r="F105" s="3"/>
      <c r="G105" s="14" t="s">
        <v>1407</v>
      </c>
      <c r="H105" s="2" t="s">
        <v>21</v>
      </c>
    </row>
    <row r="106" spans="1:8" ht="20" customHeight="1" x14ac:dyDescent="0.35">
      <c r="A106" s="2" t="s">
        <v>541</v>
      </c>
      <c r="B106" s="2" t="s">
        <v>542</v>
      </c>
      <c r="C106" s="3" t="s">
        <v>543</v>
      </c>
      <c r="D106" s="4" t="s">
        <v>116</v>
      </c>
      <c r="E106" s="3" t="s">
        <v>544</v>
      </c>
      <c r="F106" s="3" t="s">
        <v>545</v>
      </c>
      <c r="G106" s="14" t="s">
        <v>1405</v>
      </c>
      <c r="H106" s="2" t="s">
        <v>47</v>
      </c>
    </row>
    <row r="107" spans="1:8" ht="20" customHeight="1" x14ac:dyDescent="0.35">
      <c r="A107" s="2" t="s">
        <v>546</v>
      </c>
      <c r="B107" s="2" t="s">
        <v>136</v>
      </c>
      <c r="C107" s="3" t="s">
        <v>547</v>
      </c>
      <c r="D107" s="4" t="s">
        <v>194</v>
      </c>
      <c r="E107" s="3" t="s">
        <v>548</v>
      </c>
      <c r="F107" s="3" t="s">
        <v>549</v>
      </c>
      <c r="G107" s="14" t="s">
        <v>1405</v>
      </c>
      <c r="H107" s="2" t="s">
        <v>41</v>
      </c>
    </row>
    <row r="108" spans="1:8" ht="20" customHeight="1" x14ac:dyDescent="0.35">
      <c r="A108" s="2" t="s">
        <v>550</v>
      </c>
      <c r="B108" s="2" t="s">
        <v>551</v>
      </c>
      <c r="C108" s="3" t="s">
        <v>552</v>
      </c>
      <c r="D108" s="4" t="s">
        <v>553</v>
      </c>
      <c r="E108" s="3" t="s">
        <v>554</v>
      </c>
      <c r="F108" s="3" t="s">
        <v>555</v>
      </c>
      <c r="G108" s="14" t="s">
        <v>1406</v>
      </c>
      <c r="H108" s="2" t="s">
        <v>60</v>
      </c>
    </row>
    <row r="109" spans="1:8" ht="20" customHeight="1" x14ac:dyDescent="0.35">
      <c r="A109" s="2" t="s">
        <v>556</v>
      </c>
      <c r="B109" s="2" t="s">
        <v>557</v>
      </c>
      <c r="C109" s="3" t="s">
        <v>342</v>
      </c>
      <c r="D109" s="4" t="s">
        <v>116</v>
      </c>
      <c r="E109" s="3" t="s">
        <v>558</v>
      </c>
      <c r="F109" s="3" t="s">
        <v>559</v>
      </c>
      <c r="G109" s="14" t="s">
        <v>1407</v>
      </c>
      <c r="H109" s="2" t="s">
        <v>47</v>
      </c>
    </row>
    <row r="110" spans="1:8" ht="20" customHeight="1" x14ac:dyDescent="0.35">
      <c r="A110" s="2" t="s">
        <v>560</v>
      </c>
      <c r="B110" s="2" t="s">
        <v>561</v>
      </c>
      <c r="C110" s="3" t="s">
        <v>562</v>
      </c>
      <c r="D110" s="4" t="s">
        <v>563</v>
      </c>
      <c r="E110" s="3"/>
      <c r="F110" s="3" t="s">
        <v>564</v>
      </c>
      <c r="G110" s="14" t="s">
        <v>144</v>
      </c>
      <c r="H110" s="2" t="s">
        <v>47</v>
      </c>
    </row>
    <row r="111" spans="1:8" ht="20" customHeight="1" x14ac:dyDescent="0.35">
      <c r="A111" s="2" t="s">
        <v>565</v>
      </c>
      <c r="B111" s="2" t="s">
        <v>566</v>
      </c>
      <c r="C111" s="3" t="s">
        <v>174</v>
      </c>
      <c r="D111" s="4" t="s">
        <v>121</v>
      </c>
      <c r="E111" s="3" t="s">
        <v>567</v>
      </c>
      <c r="F111" s="3"/>
      <c r="G111" s="14" t="s">
        <v>1407</v>
      </c>
      <c r="H111" s="2" t="s">
        <v>47</v>
      </c>
    </row>
    <row r="112" spans="1:8" ht="20" customHeight="1" x14ac:dyDescent="0.35">
      <c r="A112" s="2" t="s">
        <v>568</v>
      </c>
      <c r="B112" s="2" t="s">
        <v>569</v>
      </c>
      <c r="C112" s="3" t="s">
        <v>570</v>
      </c>
      <c r="D112" s="4" t="s">
        <v>571</v>
      </c>
      <c r="E112" s="3" t="s">
        <v>572</v>
      </c>
      <c r="F112" s="3" t="s">
        <v>573</v>
      </c>
      <c r="G112" s="14" t="s">
        <v>20</v>
      </c>
      <c r="H112" s="2" t="s">
        <v>21</v>
      </c>
    </row>
    <row r="113" spans="1:8" ht="20" customHeight="1" x14ac:dyDescent="0.35">
      <c r="A113" s="2" t="s">
        <v>574</v>
      </c>
      <c r="B113" s="2" t="s">
        <v>575</v>
      </c>
      <c r="C113" s="3" t="s">
        <v>576</v>
      </c>
      <c r="D113" s="4" t="s">
        <v>577</v>
      </c>
      <c r="E113" s="3" t="s">
        <v>578</v>
      </c>
      <c r="F113" s="3" t="s">
        <v>579</v>
      </c>
      <c r="G113" s="14" t="s">
        <v>144</v>
      </c>
      <c r="H113" s="2" t="s">
        <v>60</v>
      </c>
    </row>
    <row r="114" spans="1:8" ht="20" customHeight="1" x14ac:dyDescent="0.35">
      <c r="A114" s="2" t="s">
        <v>580</v>
      </c>
      <c r="B114" s="2" t="s">
        <v>308</v>
      </c>
      <c r="C114" s="3" t="s">
        <v>44</v>
      </c>
      <c r="D114" s="4" t="s">
        <v>581</v>
      </c>
      <c r="E114" s="3" t="s">
        <v>582</v>
      </c>
      <c r="F114" s="3" t="s">
        <v>583</v>
      </c>
      <c r="G114" s="14" t="s">
        <v>33</v>
      </c>
      <c r="H114" s="2" t="s">
        <v>47</v>
      </c>
    </row>
    <row r="115" spans="1:8" ht="20" customHeight="1" x14ac:dyDescent="0.35">
      <c r="A115" s="2" t="s">
        <v>584</v>
      </c>
      <c r="B115" s="2" t="s">
        <v>585</v>
      </c>
      <c r="C115" s="3" t="s">
        <v>586</v>
      </c>
      <c r="D115" s="4" t="s">
        <v>45</v>
      </c>
      <c r="E115" s="3" t="s">
        <v>587</v>
      </c>
      <c r="F115" s="3" t="s">
        <v>588</v>
      </c>
      <c r="G115" s="14" t="s">
        <v>144</v>
      </c>
      <c r="H115" s="2" t="s">
        <v>47</v>
      </c>
    </row>
    <row r="116" spans="1:8" ht="20" customHeight="1" x14ac:dyDescent="0.35">
      <c r="A116" s="2" t="s">
        <v>589</v>
      </c>
      <c r="B116" s="2" t="s">
        <v>590</v>
      </c>
      <c r="C116" s="3" t="s">
        <v>591</v>
      </c>
      <c r="D116" s="4" t="s">
        <v>116</v>
      </c>
      <c r="E116" s="3" t="s">
        <v>592</v>
      </c>
      <c r="F116" s="3" t="s">
        <v>593</v>
      </c>
      <c r="G116" s="14" t="s">
        <v>1404</v>
      </c>
      <c r="H116" s="2" t="s">
        <v>34</v>
      </c>
    </row>
    <row r="117" spans="1:8" ht="20" customHeight="1" x14ac:dyDescent="0.35">
      <c r="A117" s="2" t="s">
        <v>594</v>
      </c>
      <c r="B117" s="2" t="s">
        <v>595</v>
      </c>
      <c r="C117" s="3" t="s">
        <v>596</v>
      </c>
      <c r="D117" s="4" t="s">
        <v>597</v>
      </c>
      <c r="E117" s="3" t="s">
        <v>598</v>
      </c>
      <c r="F117" s="3" t="s">
        <v>599</v>
      </c>
      <c r="G117" s="14" t="s">
        <v>1408</v>
      </c>
      <c r="H117" s="2" t="s">
        <v>41</v>
      </c>
    </row>
    <row r="118" spans="1:8" ht="20" customHeight="1" x14ac:dyDescent="0.35">
      <c r="A118" s="2" t="s">
        <v>600</v>
      </c>
      <c r="B118" s="2" t="s">
        <v>601</v>
      </c>
      <c r="C118" s="3" t="s">
        <v>602</v>
      </c>
      <c r="D118" s="4" t="s">
        <v>603</v>
      </c>
      <c r="E118" s="3" t="s">
        <v>604</v>
      </c>
      <c r="F118" s="3" t="s">
        <v>605</v>
      </c>
      <c r="G118" s="14" t="s">
        <v>1408</v>
      </c>
      <c r="H118" s="2" t="s">
        <v>47</v>
      </c>
    </row>
    <row r="119" spans="1:8" ht="20" customHeight="1" x14ac:dyDescent="0.35">
      <c r="A119" s="2" t="s">
        <v>606</v>
      </c>
      <c r="B119" s="2" t="s">
        <v>607</v>
      </c>
      <c r="C119" s="3" t="s">
        <v>608</v>
      </c>
      <c r="D119" s="4" t="s">
        <v>194</v>
      </c>
      <c r="E119" s="3" t="s">
        <v>609</v>
      </c>
      <c r="F119" s="3" t="s">
        <v>610</v>
      </c>
      <c r="G119" s="14" t="s">
        <v>144</v>
      </c>
      <c r="H119" s="2" t="s">
        <v>21</v>
      </c>
    </row>
    <row r="120" spans="1:8" ht="20" customHeight="1" x14ac:dyDescent="0.35">
      <c r="A120" s="2" t="s">
        <v>611</v>
      </c>
      <c r="B120" s="2" t="s">
        <v>612</v>
      </c>
      <c r="C120" s="3" t="s">
        <v>608</v>
      </c>
      <c r="D120" s="4" t="s">
        <v>76</v>
      </c>
      <c r="E120" s="3" t="s">
        <v>613</v>
      </c>
      <c r="F120" s="3" t="s">
        <v>614</v>
      </c>
      <c r="G120" s="14" t="s">
        <v>20</v>
      </c>
      <c r="H120" s="2" t="s">
        <v>21</v>
      </c>
    </row>
    <row r="121" spans="1:8" ht="20" customHeight="1" x14ac:dyDescent="0.35">
      <c r="A121" s="2" t="s">
        <v>615</v>
      </c>
      <c r="B121" s="2" t="s">
        <v>616</v>
      </c>
      <c r="C121" s="3" t="s">
        <v>617</v>
      </c>
      <c r="D121" s="4" t="s">
        <v>618</v>
      </c>
      <c r="E121" s="3" t="s">
        <v>619</v>
      </c>
      <c r="F121" s="3" t="s">
        <v>620</v>
      </c>
      <c r="G121" s="14" t="s">
        <v>1408</v>
      </c>
      <c r="H121" s="2" t="s">
        <v>34</v>
      </c>
    </row>
    <row r="122" spans="1:8" ht="20" customHeight="1" x14ac:dyDescent="0.35">
      <c r="A122" s="2" t="s">
        <v>621</v>
      </c>
      <c r="B122" s="2" t="s">
        <v>622</v>
      </c>
      <c r="C122" s="3" t="s">
        <v>623</v>
      </c>
      <c r="D122" s="4" t="s">
        <v>624</v>
      </c>
      <c r="E122" s="3" t="s">
        <v>625</v>
      </c>
      <c r="F122" s="3" t="s">
        <v>626</v>
      </c>
      <c r="G122" s="14" t="s">
        <v>1407</v>
      </c>
      <c r="H122" s="2" t="s">
        <v>21</v>
      </c>
    </row>
    <row r="123" spans="1:8" ht="20" customHeight="1" x14ac:dyDescent="0.35">
      <c r="A123" s="2" t="s">
        <v>627</v>
      </c>
      <c r="B123" s="2" t="s">
        <v>230</v>
      </c>
      <c r="C123" s="3" t="s">
        <v>628</v>
      </c>
      <c r="D123" s="4" t="s">
        <v>116</v>
      </c>
      <c r="E123" s="3" t="s">
        <v>629</v>
      </c>
      <c r="F123" s="3" t="s">
        <v>630</v>
      </c>
      <c r="G123" s="14" t="s">
        <v>144</v>
      </c>
      <c r="H123" s="2" t="s">
        <v>47</v>
      </c>
    </row>
    <row r="124" spans="1:8" ht="20" customHeight="1" x14ac:dyDescent="0.35">
      <c r="A124" s="2" t="s">
        <v>631</v>
      </c>
      <c r="B124" s="2" t="s">
        <v>632</v>
      </c>
      <c r="C124" s="3" t="s">
        <v>633</v>
      </c>
      <c r="D124" s="4" t="s">
        <v>38</v>
      </c>
      <c r="E124" s="3" t="s">
        <v>634</v>
      </c>
      <c r="F124" s="3" t="s">
        <v>635</v>
      </c>
      <c r="G124" s="14" t="s">
        <v>144</v>
      </c>
      <c r="H124" s="2" t="s">
        <v>60</v>
      </c>
    </row>
    <row r="125" spans="1:8" ht="20" customHeight="1" x14ac:dyDescent="0.35">
      <c r="A125" s="2" t="s">
        <v>636</v>
      </c>
      <c r="B125" s="2" t="s">
        <v>637</v>
      </c>
      <c r="C125" s="3" t="s">
        <v>638</v>
      </c>
      <c r="D125" s="4" t="s">
        <v>70</v>
      </c>
      <c r="E125" s="3" t="s">
        <v>639</v>
      </c>
      <c r="F125" s="3"/>
      <c r="G125" s="14" t="s">
        <v>1407</v>
      </c>
      <c r="H125" s="2" t="s">
        <v>34</v>
      </c>
    </row>
    <row r="126" spans="1:8" ht="20" customHeight="1" x14ac:dyDescent="0.35">
      <c r="A126" s="2" t="s">
        <v>640</v>
      </c>
      <c r="B126" s="2" t="s">
        <v>641</v>
      </c>
      <c r="C126" s="3" t="s">
        <v>203</v>
      </c>
      <c r="D126" s="4" t="s">
        <v>194</v>
      </c>
      <c r="E126" s="3" t="s">
        <v>642</v>
      </c>
      <c r="F126" s="3" t="s">
        <v>643</v>
      </c>
      <c r="G126" s="14" t="s">
        <v>1404</v>
      </c>
      <c r="H126" s="2" t="s">
        <v>207</v>
      </c>
    </row>
    <row r="127" spans="1:8" ht="20" customHeight="1" x14ac:dyDescent="0.35">
      <c r="A127" s="2" t="s">
        <v>644</v>
      </c>
      <c r="B127" s="2" t="s">
        <v>645</v>
      </c>
      <c r="C127" s="3" t="s">
        <v>646</v>
      </c>
      <c r="D127" s="4" t="s">
        <v>82</v>
      </c>
      <c r="E127" s="3"/>
      <c r="F127" s="3" t="s">
        <v>647</v>
      </c>
      <c r="G127" s="14" t="s">
        <v>1405</v>
      </c>
      <c r="H127" s="2" t="s">
        <v>41</v>
      </c>
    </row>
    <row r="128" spans="1:8" ht="20" customHeight="1" x14ac:dyDescent="0.35">
      <c r="A128" s="2" t="s">
        <v>648</v>
      </c>
      <c r="B128" s="2" t="s">
        <v>649</v>
      </c>
      <c r="C128" s="3" t="s">
        <v>650</v>
      </c>
      <c r="D128" s="4" t="s">
        <v>563</v>
      </c>
      <c r="E128" s="3" t="s">
        <v>651</v>
      </c>
      <c r="F128" s="3" t="s">
        <v>652</v>
      </c>
      <c r="G128" s="14" t="s">
        <v>1407</v>
      </c>
      <c r="H128" s="2" t="s">
        <v>34</v>
      </c>
    </row>
    <row r="129" spans="1:8" ht="20" customHeight="1" x14ac:dyDescent="0.35">
      <c r="A129" s="2" t="s">
        <v>653</v>
      </c>
      <c r="B129" s="2" t="s">
        <v>654</v>
      </c>
      <c r="C129" s="3" t="s">
        <v>358</v>
      </c>
      <c r="D129" s="4" t="s">
        <v>38</v>
      </c>
      <c r="E129" s="3" t="s">
        <v>655</v>
      </c>
      <c r="F129" s="3" t="s">
        <v>656</v>
      </c>
      <c r="G129" s="14" t="s">
        <v>1407</v>
      </c>
      <c r="H129" s="2" t="s">
        <v>47</v>
      </c>
    </row>
    <row r="130" spans="1:8" ht="20" customHeight="1" x14ac:dyDescent="0.35">
      <c r="A130" s="2" t="s">
        <v>657</v>
      </c>
      <c r="B130" s="2" t="s">
        <v>658</v>
      </c>
      <c r="C130" s="3" t="s">
        <v>659</v>
      </c>
      <c r="D130" s="4" t="s">
        <v>660</v>
      </c>
      <c r="E130" s="3" t="s">
        <v>661</v>
      </c>
      <c r="F130" s="3" t="s">
        <v>662</v>
      </c>
      <c r="G130" s="14" t="s">
        <v>1404</v>
      </c>
      <c r="H130" s="2" t="s">
        <v>60</v>
      </c>
    </row>
    <row r="131" spans="1:8" ht="20" customHeight="1" x14ac:dyDescent="0.35">
      <c r="A131" s="2" t="s">
        <v>663</v>
      </c>
      <c r="B131" s="2" t="s">
        <v>664</v>
      </c>
      <c r="C131" s="3" t="s">
        <v>665</v>
      </c>
      <c r="D131" s="4" t="s">
        <v>666</v>
      </c>
      <c r="E131" s="3" t="s">
        <v>667</v>
      </c>
      <c r="F131" s="3" t="s">
        <v>668</v>
      </c>
      <c r="G131" s="14" t="s">
        <v>1404</v>
      </c>
      <c r="H131" s="2" t="s">
        <v>34</v>
      </c>
    </row>
    <row r="132" spans="1:8" ht="20" customHeight="1" x14ac:dyDescent="0.35">
      <c r="A132" s="2" t="s">
        <v>669</v>
      </c>
      <c r="B132" s="2" t="s">
        <v>670</v>
      </c>
      <c r="C132" s="3" t="s">
        <v>174</v>
      </c>
      <c r="D132" s="4" t="s">
        <v>370</v>
      </c>
      <c r="E132" s="3"/>
      <c r="F132" s="3" t="s">
        <v>671</v>
      </c>
      <c r="G132" s="14" t="s">
        <v>20</v>
      </c>
      <c r="H132" s="2" t="s">
        <v>47</v>
      </c>
    </row>
    <row r="133" spans="1:8" ht="20" customHeight="1" x14ac:dyDescent="0.35">
      <c r="A133" s="2" t="s">
        <v>672</v>
      </c>
      <c r="B133" s="2" t="s">
        <v>341</v>
      </c>
      <c r="C133" s="3" t="s">
        <v>633</v>
      </c>
      <c r="D133" s="4" t="s">
        <v>319</v>
      </c>
      <c r="E133" s="3" t="s">
        <v>673</v>
      </c>
      <c r="F133" s="3" t="s">
        <v>343</v>
      </c>
      <c r="G133" s="14" t="s">
        <v>33</v>
      </c>
      <c r="H133" s="2" t="s">
        <v>60</v>
      </c>
    </row>
    <row r="134" spans="1:8" ht="20" customHeight="1" x14ac:dyDescent="0.35">
      <c r="A134" s="2" t="s">
        <v>674</v>
      </c>
      <c r="B134" s="2" t="s">
        <v>675</v>
      </c>
      <c r="C134" s="3" t="s">
        <v>225</v>
      </c>
      <c r="D134" s="4" t="s">
        <v>194</v>
      </c>
      <c r="E134" s="3" t="s">
        <v>676</v>
      </c>
      <c r="F134" s="3"/>
      <c r="G134" s="14" t="s">
        <v>1404</v>
      </c>
      <c r="H134" s="2" t="s">
        <v>41</v>
      </c>
    </row>
    <row r="135" spans="1:8" ht="20" customHeight="1" x14ac:dyDescent="0.35">
      <c r="A135" s="2" t="s">
        <v>677</v>
      </c>
      <c r="B135" s="2" t="s">
        <v>678</v>
      </c>
      <c r="C135" s="3" t="s">
        <v>81</v>
      </c>
      <c r="D135" s="4" t="s">
        <v>679</v>
      </c>
      <c r="E135" s="3"/>
      <c r="F135" s="3"/>
      <c r="G135" s="14" t="s">
        <v>1406</v>
      </c>
      <c r="H135" s="2" t="s">
        <v>34</v>
      </c>
    </row>
    <row r="136" spans="1:8" ht="20" customHeight="1" x14ac:dyDescent="0.35">
      <c r="A136" s="2" t="s">
        <v>680</v>
      </c>
      <c r="B136" s="2" t="s">
        <v>681</v>
      </c>
      <c r="C136" s="3" t="s">
        <v>682</v>
      </c>
      <c r="D136" s="4" t="s">
        <v>194</v>
      </c>
      <c r="E136" s="3" t="s">
        <v>683</v>
      </c>
      <c r="F136" s="3" t="s">
        <v>684</v>
      </c>
      <c r="G136" s="14" t="s">
        <v>1404</v>
      </c>
      <c r="H136" s="2" t="s">
        <v>47</v>
      </c>
    </row>
    <row r="137" spans="1:8" ht="20" customHeight="1" x14ac:dyDescent="0.35">
      <c r="A137" s="2" t="s">
        <v>685</v>
      </c>
      <c r="B137" s="2" t="s">
        <v>686</v>
      </c>
      <c r="C137" s="3" t="s">
        <v>687</v>
      </c>
      <c r="D137" s="4" t="s">
        <v>194</v>
      </c>
      <c r="E137" s="3"/>
      <c r="F137" s="3" t="s">
        <v>688</v>
      </c>
      <c r="G137" s="14" t="s">
        <v>144</v>
      </c>
      <c r="H137" s="2" t="s">
        <v>41</v>
      </c>
    </row>
    <row r="138" spans="1:8" ht="20" customHeight="1" x14ac:dyDescent="0.35">
      <c r="A138" s="2" t="s">
        <v>689</v>
      </c>
      <c r="B138" s="2" t="s">
        <v>690</v>
      </c>
      <c r="C138" s="3" t="s">
        <v>691</v>
      </c>
      <c r="D138" s="4" t="s">
        <v>692</v>
      </c>
      <c r="E138" s="3" t="s">
        <v>693</v>
      </c>
      <c r="F138" s="3" t="s">
        <v>694</v>
      </c>
      <c r="G138" s="14" t="s">
        <v>20</v>
      </c>
      <c r="H138" s="2" t="s">
        <v>21</v>
      </c>
    </row>
    <row r="139" spans="1:8" ht="20" customHeight="1" x14ac:dyDescent="0.35">
      <c r="A139" s="2" t="s">
        <v>695</v>
      </c>
      <c r="B139" s="2" t="s">
        <v>696</v>
      </c>
      <c r="C139" s="3" t="s">
        <v>697</v>
      </c>
      <c r="D139" s="4" t="s">
        <v>660</v>
      </c>
      <c r="E139" s="3" t="s">
        <v>698</v>
      </c>
      <c r="F139" s="3" t="s">
        <v>699</v>
      </c>
      <c r="G139" s="14" t="s">
        <v>1406</v>
      </c>
      <c r="H139" s="2" t="s">
        <v>41</v>
      </c>
    </row>
    <row r="140" spans="1:8" ht="20" customHeight="1" x14ac:dyDescent="0.35">
      <c r="A140" s="2" t="s">
        <v>700</v>
      </c>
      <c r="B140" s="2" t="s">
        <v>701</v>
      </c>
      <c r="C140" s="3" t="s">
        <v>702</v>
      </c>
      <c r="D140" s="4" t="s">
        <v>70</v>
      </c>
      <c r="E140" s="3" t="s">
        <v>703</v>
      </c>
      <c r="F140" s="3" t="s">
        <v>704</v>
      </c>
      <c r="G140" s="14" t="s">
        <v>1405</v>
      </c>
      <c r="H140" s="2" t="s">
        <v>60</v>
      </c>
    </row>
    <row r="141" spans="1:8" ht="20" customHeight="1" x14ac:dyDescent="0.35">
      <c r="A141" s="2" t="s">
        <v>705</v>
      </c>
      <c r="B141" s="2" t="s">
        <v>49</v>
      </c>
      <c r="C141" s="3" t="s">
        <v>706</v>
      </c>
      <c r="D141" s="4" t="s">
        <v>121</v>
      </c>
      <c r="E141" s="3" t="s">
        <v>707</v>
      </c>
      <c r="F141" s="3" t="s">
        <v>708</v>
      </c>
      <c r="G141" s="14" t="s">
        <v>20</v>
      </c>
      <c r="H141" s="2" t="s">
        <v>34</v>
      </c>
    </row>
    <row r="142" spans="1:8" ht="20" customHeight="1" x14ac:dyDescent="0.35">
      <c r="A142" s="2" t="s">
        <v>709</v>
      </c>
      <c r="B142" s="2" t="s">
        <v>710</v>
      </c>
      <c r="C142" s="3" t="s">
        <v>711</v>
      </c>
      <c r="D142" s="4" t="s">
        <v>82</v>
      </c>
      <c r="E142" s="3" t="s">
        <v>712</v>
      </c>
      <c r="F142" s="3" t="s">
        <v>713</v>
      </c>
      <c r="G142" s="14" t="s">
        <v>33</v>
      </c>
      <c r="H142" s="2" t="s">
        <v>21</v>
      </c>
    </row>
    <row r="143" spans="1:8" ht="20" customHeight="1" x14ac:dyDescent="0.35">
      <c r="A143" s="2" t="s">
        <v>714</v>
      </c>
      <c r="B143" s="2" t="s">
        <v>715</v>
      </c>
      <c r="C143" s="3" t="s">
        <v>716</v>
      </c>
      <c r="D143" s="4" t="s">
        <v>359</v>
      </c>
      <c r="E143" s="3" t="s">
        <v>717</v>
      </c>
      <c r="F143" s="3" t="s">
        <v>718</v>
      </c>
      <c r="G143" s="14" t="s">
        <v>1405</v>
      </c>
      <c r="H143" s="2" t="s">
        <v>14</v>
      </c>
    </row>
    <row r="144" spans="1:8" ht="20" customHeight="1" x14ac:dyDescent="0.35">
      <c r="A144" s="2" t="s">
        <v>719</v>
      </c>
      <c r="B144" s="2" t="s">
        <v>720</v>
      </c>
      <c r="C144" s="3" t="s">
        <v>721</v>
      </c>
      <c r="D144" s="4" t="s">
        <v>412</v>
      </c>
      <c r="E144" s="3"/>
      <c r="F144" s="3"/>
      <c r="G144" s="14" t="s">
        <v>1405</v>
      </c>
      <c r="H144" s="2" t="s">
        <v>34</v>
      </c>
    </row>
    <row r="145" spans="1:8" ht="20" customHeight="1" x14ac:dyDescent="0.35">
      <c r="A145" s="2" t="s">
        <v>722</v>
      </c>
      <c r="B145" s="2" t="s">
        <v>723</v>
      </c>
      <c r="C145" s="3" t="s">
        <v>724</v>
      </c>
      <c r="D145" s="4" t="s">
        <v>265</v>
      </c>
      <c r="E145" s="3" t="s">
        <v>725</v>
      </c>
      <c r="F145" s="3" t="s">
        <v>726</v>
      </c>
      <c r="G145" s="14" t="s">
        <v>1404</v>
      </c>
      <c r="H145" s="2" t="s">
        <v>47</v>
      </c>
    </row>
    <row r="146" spans="1:8" ht="20" customHeight="1" x14ac:dyDescent="0.35">
      <c r="A146" s="2" t="s">
        <v>727</v>
      </c>
      <c r="B146" s="2" t="s">
        <v>728</v>
      </c>
      <c r="C146" s="3" t="s">
        <v>729</v>
      </c>
      <c r="D146" s="4" t="s">
        <v>348</v>
      </c>
      <c r="E146" s="3" t="s">
        <v>730</v>
      </c>
      <c r="F146" s="3" t="s">
        <v>731</v>
      </c>
      <c r="G146" s="14" t="s">
        <v>144</v>
      </c>
      <c r="H146" s="2" t="s">
        <v>41</v>
      </c>
    </row>
    <row r="147" spans="1:8" ht="20" customHeight="1" x14ac:dyDescent="0.35">
      <c r="A147" s="2" t="s">
        <v>732</v>
      </c>
      <c r="B147" s="2" t="s">
        <v>733</v>
      </c>
      <c r="C147" s="3" t="s">
        <v>687</v>
      </c>
      <c r="D147" s="4" t="s">
        <v>734</v>
      </c>
      <c r="E147" s="3" t="s">
        <v>735</v>
      </c>
      <c r="F147" s="3" t="s">
        <v>736</v>
      </c>
      <c r="G147" s="14" t="s">
        <v>1408</v>
      </c>
      <c r="H147" s="2" t="s">
        <v>41</v>
      </c>
    </row>
    <row r="148" spans="1:8" ht="20" customHeight="1" x14ac:dyDescent="0.35">
      <c r="A148" s="2" t="s">
        <v>737</v>
      </c>
      <c r="B148" s="2" t="s">
        <v>738</v>
      </c>
      <c r="C148" s="3" t="s">
        <v>110</v>
      </c>
      <c r="D148" s="4" t="s">
        <v>116</v>
      </c>
      <c r="E148" s="3" t="s">
        <v>739</v>
      </c>
      <c r="F148" s="3" t="s">
        <v>740</v>
      </c>
      <c r="G148" s="14" t="s">
        <v>1405</v>
      </c>
      <c r="H148" s="2" t="s">
        <v>47</v>
      </c>
    </row>
    <row r="149" spans="1:8" ht="20" customHeight="1" x14ac:dyDescent="0.35">
      <c r="A149" s="2" t="s">
        <v>741</v>
      </c>
      <c r="B149" s="2" t="s">
        <v>742</v>
      </c>
      <c r="C149" s="3" t="s">
        <v>743</v>
      </c>
      <c r="D149" s="4" t="s">
        <v>679</v>
      </c>
      <c r="E149" s="3" t="s">
        <v>744</v>
      </c>
      <c r="F149" s="3" t="s">
        <v>745</v>
      </c>
      <c r="G149" s="14" t="s">
        <v>144</v>
      </c>
      <c r="H149" s="2" t="s">
        <v>207</v>
      </c>
    </row>
    <row r="150" spans="1:8" ht="20" customHeight="1" x14ac:dyDescent="0.35">
      <c r="A150" s="2" t="s">
        <v>746</v>
      </c>
      <c r="B150" s="2" t="s">
        <v>747</v>
      </c>
      <c r="C150" s="3" t="s">
        <v>210</v>
      </c>
      <c r="D150" s="4" t="s">
        <v>88</v>
      </c>
      <c r="E150" s="3" t="s">
        <v>748</v>
      </c>
      <c r="F150" s="3" t="s">
        <v>749</v>
      </c>
      <c r="G150" s="14" t="s">
        <v>20</v>
      </c>
      <c r="H150" s="2" t="s">
        <v>47</v>
      </c>
    </row>
    <row r="151" spans="1:8" ht="20" customHeight="1" x14ac:dyDescent="0.35">
      <c r="A151" s="2" t="s">
        <v>750</v>
      </c>
      <c r="B151" s="2" t="s">
        <v>751</v>
      </c>
      <c r="C151" s="3" t="s">
        <v>193</v>
      </c>
      <c r="D151" s="4" t="s">
        <v>752</v>
      </c>
      <c r="E151" s="3" t="s">
        <v>753</v>
      </c>
      <c r="F151" s="3" t="s">
        <v>754</v>
      </c>
      <c r="G151" s="14" t="s">
        <v>33</v>
      </c>
      <c r="H151" s="2" t="s">
        <v>41</v>
      </c>
    </row>
    <row r="152" spans="1:8" ht="20" customHeight="1" x14ac:dyDescent="0.35">
      <c r="A152" s="2" t="s">
        <v>755</v>
      </c>
      <c r="B152" s="2" t="s">
        <v>756</v>
      </c>
      <c r="C152" s="3" t="s">
        <v>757</v>
      </c>
      <c r="D152" s="4" t="s">
        <v>82</v>
      </c>
      <c r="E152" s="3"/>
      <c r="F152" s="3" t="s">
        <v>758</v>
      </c>
      <c r="G152" s="14" t="s">
        <v>1408</v>
      </c>
      <c r="H152" s="2" t="s">
        <v>47</v>
      </c>
    </row>
    <row r="153" spans="1:8" ht="20" customHeight="1" x14ac:dyDescent="0.35">
      <c r="A153" s="2" t="s">
        <v>759</v>
      </c>
      <c r="B153" s="2" t="s">
        <v>760</v>
      </c>
      <c r="C153" s="3" t="s">
        <v>761</v>
      </c>
      <c r="D153" s="4" t="s">
        <v>378</v>
      </c>
      <c r="E153" s="3" t="s">
        <v>762</v>
      </c>
      <c r="F153" s="3" t="s">
        <v>763</v>
      </c>
      <c r="G153" s="14" t="s">
        <v>20</v>
      </c>
      <c r="H153" s="2" t="s">
        <v>47</v>
      </c>
    </row>
    <row r="154" spans="1:8" ht="20" customHeight="1" x14ac:dyDescent="0.35">
      <c r="A154" s="2" t="s">
        <v>764</v>
      </c>
      <c r="B154" s="2" t="s">
        <v>765</v>
      </c>
      <c r="C154" s="3" t="s">
        <v>237</v>
      </c>
      <c r="D154" s="4" t="s">
        <v>412</v>
      </c>
      <c r="E154" s="3" t="s">
        <v>766</v>
      </c>
      <c r="F154" s="3" t="s">
        <v>767</v>
      </c>
      <c r="G154" s="14" t="s">
        <v>33</v>
      </c>
      <c r="H154" s="2" t="s">
        <v>14</v>
      </c>
    </row>
    <row r="155" spans="1:8" ht="20" customHeight="1" x14ac:dyDescent="0.35">
      <c r="A155" s="2" t="s">
        <v>768</v>
      </c>
      <c r="B155" s="2" t="s">
        <v>769</v>
      </c>
      <c r="C155" s="3" t="s">
        <v>770</v>
      </c>
      <c r="D155" s="4" t="s">
        <v>265</v>
      </c>
      <c r="E155" s="3" t="s">
        <v>771</v>
      </c>
      <c r="F155" s="3" t="s">
        <v>772</v>
      </c>
      <c r="G155" s="14" t="s">
        <v>1404</v>
      </c>
      <c r="H155" s="2" t="s">
        <v>34</v>
      </c>
    </row>
    <row r="156" spans="1:8" ht="20" customHeight="1" x14ac:dyDescent="0.35">
      <c r="A156" s="2" t="s">
        <v>773</v>
      </c>
      <c r="B156" s="2" t="s">
        <v>774</v>
      </c>
      <c r="C156" s="3" t="s">
        <v>775</v>
      </c>
      <c r="D156" s="4" t="s">
        <v>776</v>
      </c>
      <c r="E156" s="3" t="s">
        <v>777</v>
      </c>
      <c r="F156" s="3" t="s">
        <v>778</v>
      </c>
      <c r="G156" s="14" t="s">
        <v>1405</v>
      </c>
      <c r="H156" s="2" t="s">
        <v>47</v>
      </c>
    </row>
    <row r="157" spans="1:8" ht="20" customHeight="1" x14ac:dyDescent="0.35">
      <c r="A157" s="2" t="s">
        <v>779</v>
      </c>
      <c r="B157" s="2" t="s">
        <v>780</v>
      </c>
      <c r="C157" s="3" t="s">
        <v>781</v>
      </c>
      <c r="D157" s="4" t="s">
        <v>45</v>
      </c>
      <c r="E157" s="3"/>
      <c r="F157" s="3" t="s">
        <v>782</v>
      </c>
      <c r="G157" s="14" t="s">
        <v>33</v>
      </c>
      <c r="H157" s="2" t="s">
        <v>41</v>
      </c>
    </row>
    <row r="158" spans="1:8" ht="20" customHeight="1" x14ac:dyDescent="0.35">
      <c r="A158" s="2" t="s">
        <v>783</v>
      </c>
      <c r="B158" s="2" t="s">
        <v>784</v>
      </c>
      <c r="C158" s="3" t="s">
        <v>785</v>
      </c>
      <c r="D158" s="4" t="s">
        <v>121</v>
      </c>
      <c r="E158" s="3" t="s">
        <v>786</v>
      </c>
      <c r="F158" s="3" t="s">
        <v>787</v>
      </c>
      <c r="G158" s="14" t="s">
        <v>144</v>
      </c>
      <c r="H158" s="2" t="s">
        <v>41</v>
      </c>
    </row>
    <row r="159" spans="1:8" ht="20" customHeight="1" x14ac:dyDescent="0.35">
      <c r="A159" s="2" t="s">
        <v>788</v>
      </c>
      <c r="B159" s="2" t="s">
        <v>789</v>
      </c>
      <c r="C159" s="3" t="s">
        <v>75</v>
      </c>
      <c r="D159" s="4" t="s">
        <v>25</v>
      </c>
      <c r="E159" s="3" t="s">
        <v>790</v>
      </c>
      <c r="F159" s="3" t="s">
        <v>791</v>
      </c>
      <c r="G159" s="14" t="s">
        <v>1405</v>
      </c>
      <c r="H159" s="2" t="s">
        <v>47</v>
      </c>
    </row>
    <row r="160" spans="1:8" ht="20" customHeight="1" x14ac:dyDescent="0.35">
      <c r="A160" s="2" t="s">
        <v>792</v>
      </c>
      <c r="B160" s="2" t="s">
        <v>793</v>
      </c>
      <c r="C160" s="3" t="s">
        <v>794</v>
      </c>
      <c r="D160" s="4" t="s">
        <v>116</v>
      </c>
      <c r="E160" s="3" t="s">
        <v>795</v>
      </c>
      <c r="F160" s="3" t="s">
        <v>796</v>
      </c>
      <c r="G160" s="14" t="s">
        <v>20</v>
      </c>
      <c r="H160" s="2" t="s">
        <v>41</v>
      </c>
    </row>
    <row r="161" spans="1:8" ht="20" customHeight="1" x14ac:dyDescent="0.35">
      <c r="A161" s="2" t="s">
        <v>797</v>
      </c>
      <c r="B161" s="2" t="s">
        <v>218</v>
      </c>
      <c r="C161" s="3" t="s">
        <v>798</v>
      </c>
      <c r="D161" s="4" t="s">
        <v>82</v>
      </c>
      <c r="E161" s="3" t="s">
        <v>799</v>
      </c>
      <c r="F161" s="3" t="s">
        <v>800</v>
      </c>
      <c r="G161" s="14" t="s">
        <v>1408</v>
      </c>
      <c r="H161" s="2" t="s">
        <v>47</v>
      </c>
    </row>
    <row r="162" spans="1:8" ht="20" customHeight="1" x14ac:dyDescent="0.35">
      <c r="A162" s="2" t="s">
        <v>801</v>
      </c>
      <c r="B162" s="2" t="s">
        <v>802</v>
      </c>
      <c r="C162" s="3" t="s">
        <v>721</v>
      </c>
      <c r="D162" s="4" t="s">
        <v>116</v>
      </c>
      <c r="E162" s="3" t="s">
        <v>803</v>
      </c>
      <c r="F162" s="3" t="s">
        <v>804</v>
      </c>
      <c r="G162" s="14" t="s">
        <v>1406</v>
      </c>
      <c r="H162" s="2" t="s">
        <v>34</v>
      </c>
    </row>
    <row r="163" spans="1:8" ht="20" customHeight="1" x14ac:dyDescent="0.35">
      <c r="A163" s="2" t="s">
        <v>805</v>
      </c>
      <c r="B163" s="2" t="s">
        <v>806</v>
      </c>
      <c r="C163" s="3" t="s">
        <v>807</v>
      </c>
      <c r="D163" s="4" t="s">
        <v>808</v>
      </c>
      <c r="E163" s="3" t="s">
        <v>809</v>
      </c>
      <c r="F163" s="3"/>
      <c r="G163" s="14" t="s">
        <v>1405</v>
      </c>
      <c r="H163" s="2" t="s">
        <v>60</v>
      </c>
    </row>
    <row r="164" spans="1:8" ht="20" customHeight="1" x14ac:dyDescent="0.35">
      <c r="A164" s="2" t="s">
        <v>810</v>
      </c>
      <c r="B164" s="2" t="s">
        <v>98</v>
      </c>
      <c r="C164" s="3" t="s">
        <v>460</v>
      </c>
      <c r="D164" s="4" t="s">
        <v>811</v>
      </c>
      <c r="E164" s="3" t="s">
        <v>812</v>
      </c>
      <c r="F164" s="3" t="s">
        <v>813</v>
      </c>
      <c r="G164" s="14" t="s">
        <v>144</v>
      </c>
      <c r="H164" s="2" t="s">
        <v>207</v>
      </c>
    </row>
    <row r="165" spans="1:8" ht="20" customHeight="1" x14ac:dyDescent="0.35">
      <c r="A165" s="2" t="s">
        <v>814</v>
      </c>
      <c r="B165" s="2" t="s">
        <v>815</v>
      </c>
      <c r="C165" s="3" t="s">
        <v>816</v>
      </c>
      <c r="D165" s="4" t="s">
        <v>82</v>
      </c>
      <c r="E165" s="3" t="s">
        <v>817</v>
      </c>
      <c r="F165" s="3" t="s">
        <v>818</v>
      </c>
      <c r="G165" s="14" t="s">
        <v>33</v>
      </c>
      <c r="H165" s="2" t="s">
        <v>21</v>
      </c>
    </row>
    <row r="166" spans="1:8" ht="20" customHeight="1" x14ac:dyDescent="0.35">
      <c r="A166" s="2" t="s">
        <v>819</v>
      </c>
      <c r="B166" s="2" t="s">
        <v>820</v>
      </c>
      <c r="C166" s="3" t="s">
        <v>821</v>
      </c>
      <c r="D166" s="4" t="s">
        <v>82</v>
      </c>
      <c r="E166" s="3" t="s">
        <v>822</v>
      </c>
      <c r="F166" s="3" t="s">
        <v>823</v>
      </c>
      <c r="G166" s="14" t="s">
        <v>1405</v>
      </c>
      <c r="H166" s="2" t="s">
        <v>47</v>
      </c>
    </row>
    <row r="167" spans="1:8" ht="20" customHeight="1" x14ac:dyDescent="0.35">
      <c r="A167" s="2" t="s">
        <v>824</v>
      </c>
      <c r="B167" s="2" t="s">
        <v>825</v>
      </c>
      <c r="C167" s="3" t="s">
        <v>826</v>
      </c>
      <c r="D167" s="4" t="s">
        <v>38</v>
      </c>
      <c r="E167" s="3" t="s">
        <v>827</v>
      </c>
      <c r="F167" s="3" t="s">
        <v>828</v>
      </c>
      <c r="G167" s="14" t="s">
        <v>1408</v>
      </c>
      <c r="H167" s="2" t="s">
        <v>21</v>
      </c>
    </row>
    <row r="168" spans="1:8" ht="20" customHeight="1" x14ac:dyDescent="0.35">
      <c r="A168" s="2" t="s">
        <v>829</v>
      </c>
      <c r="B168" s="2" t="s">
        <v>86</v>
      </c>
      <c r="C168" s="3" t="s">
        <v>830</v>
      </c>
      <c r="D168" s="4" t="s">
        <v>121</v>
      </c>
      <c r="E168" s="3"/>
      <c r="F168" s="3"/>
      <c r="G168" s="14" t="s">
        <v>1404</v>
      </c>
      <c r="H168" s="2" t="s">
        <v>41</v>
      </c>
    </row>
    <row r="169" spans="1:8" ht="20" customHeight="1" x14ac:dyDescent="0.35">
      <c r="A169" s="2" t="s">
        <v>831</v>
      </c>
      <c r="B169" s="2" t="s">
        <v>406</v>
      </c>
      <c r="C169" s="3" t="s">
        <v>832</v>
      </c>
      <c r="D169" s="4" t="s">
        <v>692</v>
      </c>
      <c r="E169" s="3" t="s">
        <v>833</v>
      </c>
      <c r="F169" s="3" t="s">
        <v>834</v>
      </c>
      <c r="G169" s="14" t="s">
        <v>1406</v>
      </c>
      <c r="H169" s="2" t="s">
        <v>41</v>
      </c>
    </row>
    <row r="170" spans="1:8" ht="20" customHeight="1" x14ac:dyDescent="0.35">
      <c r="A170" s="2" t="s">
        <v>835</v>
      </c>
      <c r="B170" s="2" t="s">
        <v>836</v>
      </c>
      <c r="C170" s="3" t="s">
        <v>369</v>
      </c>
      <c r="D170" s="4" t="s">
        <v>70</v>
      </c>
      <c r="E170" s="3" t="s">
        <v>837</v>
      </c>
      <c r="F170" s="3" t="s">
        <v>838</v>
      </c>
      <c r="G170" s="14" t="s">
        <v>1405</v>
      </c>
      <c r="H170" s="2" t="s">
        <v>47</v>
      </c>
    </row>
    <row r="171" spans="1:8" ht="20" customHeight="1" x14ac:dyDescent="0.35">
      <c r="A171" s="2" t="s">
        <v>839</v>
      </c>
      <c r="B171" s="2" t="s">
        <v>840</v>
      </c>
      <c r="C171" s="3" t="s">
        <v>841</v>
      </c>
      <c r="D171" s="4" t="s">
        <v>842</v>
      </c>
      <c r="E171" s="3" t="s">
        <v>843</v>
      </c>
      <c r="F171" s="3" t="s">
        <v>844</v>
      </c>
      <c r="G171" s="14" t="s">
        <v>1408</v>
      </c>
      <c r="H171" s="2" t="s">
        <v>41</v>
      </c>
    </row>
    <row r="172" spans="1:8" ht="20" customHeight="1" x14ac:dyDescent="0.35">
      <c r="A172" s="2" t="s">
        <v>845</v>
      </c>
      <c r="B172" s="2" t="s">
        <v>104</v>
      </c>
      <c r="C172" s="3" t="s">
        <v>638</v>
      </c>
      <c r="D172" s="4" t="s">
        <v>82</v>
      </c>
      <c r="E172" s="3"/>
      <c r="F172" s="3" t="s">
        <v>846</v>
      </c>
      <c r="G172" s="14" t="s">
        <v>144</v>
      </c>
      <c r="H172" s="2" t="s">
        <v>34</v>
      </c>
    </row>
    <row r="173" spans="1:8" ht="20" customHeight="1" x14ac:dyDescent="0.35">
      <c r="A173" s="2" t="s">
        <v>847</v>
      </c>
      <c r="B173" s="2" t="s">
        <v>848</v>
      </c>
      <c r="C173" s="3" t="s">
        <v>849</v>
      </c>
      <c r="D173" s="4" t="s">
        <v>850</v>
      </c>
      <c r="E173" s="3"/>
      <c r="F173" s="3" t="s">
        <v>851</v>
      </c>
      <c r="G173" s="14" t="s">
        <v>33</v>
      </c>
      <c r="H173" s="2" t="s">
        <v>21</v>
      </c>
    </row>
    <row r="174" spans="1:8" ht="20" customHeight="1" x14ac:dyDescent="0.35">
      <c r="A174" s="2" t="s">
        <v>852</v>
      </c>
      <c r="B174" s="2" t="s">
        <v>853</v>
      </c>
      <c r="C174" s="3" t="s">
        <v>854</v>
      </c>
      <c r="D174" s="4" t="s">
        <v>855</v>
      </c>
      <c r="E174" s="3" t="s">
        <v>856</v>
      </c>
      <c r="F174" s="3" t="s">
        <v>857</v>
      </c>
      <c r="G174" s="14" t="s">
        <v>1407</v>
      </c>
      <c r="H174" s="2" t="s">
        <v>34</v>
      </c>
    </row>
    <row r="175" spans="1:8" ht="20" customHeight="1" x14ac:dyDescent="0.35">
      <c r="A175" s="2" t="s">
        <v>858</v>
      </c>
      <c r="B175" s="2" t="s">
        <v>859</v>
      </c>
      <c r="C175" s="3" t="s">
        <v>860</v>
      </c>
      <c r="D175" s="4" t="s">
        <v>348</v>
      </c>
      <c r="E175" s="3" t="s">
        <v>861</v>
      </c>
      <c r="F175" s="3" t="s">
        <v>862</v>
      </c>
      <c r="G175" s="14" t="s">
        <v>144</v>
      </c>
      <c r="H175" s="2" t="s">
        <v>21</v>
      </c>
    </row>
    <row r="176" spans="1:8" ht="20" customHeight="1" x14ac:dyDescent="0.35">
      <c r="A176" s="2" t="s">
        <v>863</v>
      </c>
      <c r="B176" s="2" t="s">
        <v>864</v>
      </c>
      <c r="C176" s="3" t="s">
        <v>865</v>
      </c>
      <c r="D176" s="4" t="s">
        <v>64</v>
      </c>
      <c r="E176" s="3" t="s">
        <v>866</v>
      </c>
      <c r="F176" s="3" t="s">
        <v>867</v>
      </c>
      <c r="G176" s="14" t="s">
        <v>144</v>
      </c>
      <c r="H176" s="2" t="s">
        <v>47</v>
      </c>
    </row>
    <row r="177" spans="1:8" ht="20" customHeight="1" x14ac:dyDescent="0.35">
      <c r="A177" s="2" t="s">
        <v>868</v>
      </c>
      <c r="B177" s="2" t="s">
        <v>869</v>
      </c>
      <c r="C177" s="3" t="s">
        <v>870</v>
      </c>
      <c r="D177" s="4" t="s">
        <v>553</v>
      </c>
      <c r="E177" s="3" t="s">
        <v>871</v>
      </c>
      <c r="F177" s="3" t="s">
        <v>872</v>
      </c>
      <c r="G177" s="14" t="s">
        <v>144</v>
      </c>
      <c r="H177" s="2" t="s">
        <v>34</v>
      </c>
    </row>
    <row r="178" spans="1:8" ht="20" customHeight="1" x14ac:dyDescent="0.35">
      <c r="A178" s="2" t="s">
        <v>873</v>
      </c>
      <c r="B178" s="2" t="s">
        <v>874</v>
      </c>
      <c r="C178" s="3" t="s">
        <v>115</v>
      </c>
      <c r="D178" s="4" t="s">
        <v>875</v>
      </c>
      <c r="E178" s="3" t="s">
        <v>876</v>
      </c>
      <c r="F178" s="3" t="s">
        <v>877</v>
      </c>
      <c r="G178" s="14" t="s">
        <v>1406</v>
      </c>
      <c r="H178" s="2" t="s">
        <v>47</v>
      </c>
    </row>
    <row r="179" spans="1:8" ht="20" customHeight="1" x14ac:dyDescent="0.35">
      <c r="A179" s="2" t="s">
        <v>878</v>
      </c>
      <c r="B179" s="2" t="s">
        <v>879</v>
      </c>
      <c r="C179" s="3" t="s">
        <v>281</v>
      </c>
      <c r="D179" s="4" t="s">
        <v>82</v>
      </c>
      <c r="E179" s="3" t="s">
        <v>880</v>
      </c>
      <c r="F179" s="3" t="s">
        <v>881</v>
      </c>
      <c r="G179" s="14" t="s">
        <v>33</v>
      </c>
      <c r="H179" s="2" t="s">
        <v>21</v>
      </c>
    </row>
    <row r="180" spans="1:8" ht="20" customHeight="1" x14ac:dyDescent="0.35">
      <c r="A180" s="2" t="s">
        <v>882</v>
      </c>
      <c r="B180" s="2" t="s">
        <v>883</v>
      </c>
      <c r="C180" s="3" t="s">
        <v>884</v>
      </c>
      <c r="D180" s="4" t="s">
        <v>70</v>
      </c>
      <c r="E180" s="3" t="s">
        <v>885</v>
      </c>
      <c r="F180" s="3" t="s">
        <v>886</v>
      </c>
      <c r="G180" s="14" t="s">
        <v>33</v>
      </c>
      <c r="H180" s="2" t="s">
        <v>60</v>
      </c>
    </row>
    <row r="181" spans="1:8" ht="20" customHeight="1" x14ac:dyDescent="0.35">
      <c r="A181" s="2" t="s">
        <v>887</v>
      </c>
      <c r="B181" s="2" t="s">
        <v>607</v>
      </c>
      <c r="C181" s="3" t="s">
        <v>318</v>
      </c>
      <c r="D181" s="4" t="s">
        <v>82</v>
      </c>
      <c r="E181" s="3" t="s">
        <v>888</v>
      </c>
      <c r="F181" s="3" t="s">
        <v>889</v>
      </c>
      <c r="G181" s="14" t="s">
        <v>33</v>
      </c>
      <c r="H181" s="2" t="s">
        <v>60</v>
      </c>
    </row>
    <row r="182" spans="1:8" ht="20" customHeight="1" x14ac:dyDescent="0.35">
      <c r="A182" s="2" t="s">
        <v>890</v>
      </c>
      <c r="B182" s="2" t="s">
        <v>891</v>
      </c>
      <c r="C182" s="3" t="s">
        <v>892</v>
      </c>
      <c r="D182" s="4" t="s">
        <v>121</v>
      </c>
      <c r="E182" s="3" t="s">
        <v>893</v>
      </c>
      <c r="F182" s="3" t="s">
        <v>894</v>
      </c>
      <c r="G182" s="14" t="s">
        <v>1405</v>
      </c>
      <c r="H182" s="2" t="s">
        <v>207</v>
      </c>
    </row>
    <row r="183" spans="1:8" ht="20" customHeight="1" x14ac:dyDescent="0.35">
      <c r="A183" s="2" t="s">
        <v>895</v>
      </c>
      <c r="B183" s="2" t="s">
        <v>434</v>
      </c>
      <c r="C183" s="3" t="s">
        <v>198</v>
      </c>
      <c r="D183" s="4" t="s">
        <v>121</v>
      </c>
      <c r="E183" s="3" t="s">
        <v>438</v>
      </c>
      <c r="F183" s="3" t="s">
        <v>896</v>
      </c>
      <c r="G183" s="14" t="s">
        <v>1407</v>
      </c>
      <c r="H183" s="2" t="s">
        <v>21</v>
      </c>
    </row>
    <row r="184" spans="1:8" ht="20" customHeight="1" x14ac:dyDescent="0.35">
      <c r="A184" s="2" t="s">
        <v>897</v>
      </c>
      <c r="B184" s="2" t="s">
        <v>898</v>
      </c>
      <c r="C184" s="3" t="s">
        <v>899</v>
      </c>
      <c r="D184" s="4" t="s">
        <v>121</v>
      </c>
      <c r="E184" s="3" t="s">
        <v>900</v>
      </c>
      <c r="F184" s="3" t="s">
        <v>901</v>
      </c>
      <c r="G184" s="14" t="s">
        <v>33</v>
      </c>
      <c r="H184" s="2" t="s">
        <v>41</v>
      </c>
    </row>
    <row r="185" spans="1:8" ht="20" customHeight="1" x14ac:dyDescent="0.35">
      <c r="A185" s="2" t="s">
        <v>902</v>
      </c>
      <c r="B185" s="2" t="s">
        <v>903</v>
      </c>
      <c r="C185" s="3" t="s">
        <v>904</v>
      </c>
      <c r="D185" s="4" t="s">
        <v>116</v>
      </c>
      <c r="E185" s="3" t="s">
        <v>905</v>
      </c>
      <c r="F185" s="3" t="s">
        <v>906</v>
      </c>
      <c r="G185" s="14" t="s">
        <v>33</v>
      </c>
      <c r="H185" s="2" t="s">
        <v>47</v>
      </c>
    </row>
    <row r="186" spans="1:8" ht="20" customHeight="1" x14ac:dyDescent="0.35">
      <c r="A186" s="2" t="s">
        <v>907</v>
      </c>
      <c r="B186" s="2" t="s">
        <v>908</v>
      </c>
      <c r="C186" s="3" t="s">
        <v>126</v>
      </c>
      <c r="D186" s="4" t="s">
        <v>111</v>
      </c>
      <c r="E186" s="3" t="s">
        <v>909</v>
      </c>
      <c r="F186" s="3" t="s">
        <v>910</v>
      </c>
      <c r="G186" s="14" t="s">
        <v>144</v>
      </c>
      <c r="H186" s="2" t="s">
        <v>47</v>
      </c>
    </row>
    <row r="187" spans="1:8" ht="20" customHeight="1" x14ac:dyDescent="0.35">
      <c r="A187" s="2" t="s">
        <v>911</v>
      </c>
      <c r="B187" s="2" t="s">
        <v>912</v>
      </c>
      <c r="C187" s="3" t="s">
        <v>913</v>
      </c>
      <c r="D187" s="4" t="s">
        <v>88</v>
      </c>
      <c r="E187" s="3" t="s">
        <v>914</v>
      </c>
      <c r="F187" s="3" t="s">
        <v>915</v>
      </c>
      <c r="G187" s="14" t="s">
        <v>1405</v>
      </c>
      <c r="H187" s="2" t="s">
        <v>47</v>
      </c>
    </row>
    <row r="188" spans="1:8" ht="20" customHeight="1" x14ac:dyDescent="0.35">
      <c r="A188" s="2" t="s">
        <v>916</v>
      </c>
      <c r="B188" s="2" t="s">
        <v>917</v>
      </c>
      <c r="C188" s="3" t="s">
        <v>918</v>
      </c>
      <c r="D188" s="4" t="s">
        <v>82</v>
      </c>
      <c r="E188" s="3" t="s">
        <v>919</v>
      </c>
      <c r="F188" s="3" t="s">
        <v>920</v>
      </c>
      <c r="G188" s="14" t="s">
        <v>144</v>
      </c>
      <c r="H188" s="2" t="s">
        <v>47</v>
      </c>
    </row>
    <row r="189" spans="1:8" ht="20" customHeight="1" x14ac:dyDescent="0.35">
      <c r="A189" s="2" t="s">
        <v>921</v>
      </c>
      <c r="B189" s="2" t="s">
        <v>922</v>
      </c>
      <c r="C189" s="3" t="s">
        <v>923</v>
      </c>
      <c r="D189" s="4" t="s">
        <v>924</v>
      </c>
      <c r="E189" s="3" t="s">
        <v>925</v>
      </c>
      <c r="F189" s="3" t="s">
        <v>926</v>
      </c>
      <c r="G189" s="14" t="s">
        <v>144</v>
      </c>
      <c r="H189" s="2" t="s">
        <v>47</v>
      </c>
    </row>
    <row r="190" spans="1:8" ht="20" customHeight="1" x14ac:dyDescent="0.35">
      <c r="A190" s="2" t="s">
        <v>927</v>
      </c>
      <c r="B190" s="2" t="s">
        <v>928</v>
      </c>
      <c r="C190" s="3" t="s">
        <v>929</v>
      </c>
      <c r="D190" s="4" t="s">
        <v>276</v>
      </c>
      <c r="E190" s="3" t="s">
        <v>930</v>
      </c>
      <c r="F190" s="3" t="s">
        <v>931</v>
      </c>
      <c r="G190" s="14" t="s">
        <v>20</v>
      </c>
      <c r="H190" s="2" t="s">
        <v>60</v>
      </c>
    </row>
    <row r="191" spans="1:8" ht="20" customHeight="1" x14ac:dyDescent="0.35">
      <c r="A191" s="2" t="s">
        <v>932</v>
      </c>
      <c r="B191" s="2" t="s">
        <v>933</v>
      </c>
      <c r="C191" s="3" t="s">
        <v>691</v>
      </c>
      <c r="D191" s="4" t="s">
        <v>116</v>
      </c>
      <c r="E191" s="3" t="s">
        <v>934</v>
      </c>
      <c r="F191" s="3" t="s">
        <v>935</v>
      </c>
      <c r="G191" s="14" t="s">
        <v>144</v>
      </c>
      <c r="H191" s="2" t="s">
        <v>21</v>
      </c>
    </row>
    <row r="192" spans="1:8" ht="20" customHeight="1" x14ac:dyDescent="0.35">
      <c r="A192" s="2" t="s">
        <v>936</v>
      </c>
      <c r="B192" s="2" t="s">
        <v>937</v>
      </c>
      <c r="C192" s="3" t="s">
        <v>691</v>
      </c>
      <c r="D192" s="4" t="s">
        <v>842</v>
      </c>
      <c r="E192" s="3" t="s">
        <v>938</v>
      </c>
      <c r="F192" s="3" t="s">
        <v>939</v>
      </c>
      <c r="G192" s="14" t="s">
        <v>33</v>
      </c>
      <c r="H192" s="2" t="s">
        <v>21</v>
      </c>
    </row>
    <row r="193" spans="1:8" ht="20" customHeight="1" x14ac:dyDescent="0.35">
      <c r="A193" s="2" t="s">
        <v>940</v>
      </c>
      <c r="B193" s="2" t="s">
        <v>941</v>
      </c>
      <c r="C193" s="3" t="s">
        <v>918</v>
      </c>
      <c r="D193" s="4" t="s">
        <v>811</v>
      </c>
      <c r="E193" s="3" t="s">
        <v>942</v>
      </c>
      <c r="F193" s="3" t="s">
        <v>943</v>
      </c>
      <c r="G193" s="14" t="s">
        <v>1408</v>
      </c>
      <c r="H193" s="2" t="s">
        <v>47</v>
      </c>
    </row>
    <row r="194" spans="1:8" ht="20" customHeight="1" x14ac:dyDescent="0.35">
      <c r="A194" s="2" t="s">
        <v>944</v>
      </c>
      <c r="B194" s="2" t="s">
        <v>742</v>
      </c>
      <c r="C194" s="3" t="s">
        <v>945</v>
      </c>
      <c r="D194" s="4" t="s">
        <v>121</v>
      </c>
      <c r="E194" s="3" t="s">
        <v>946</v>
      </c>
      <c r="F194" s="3" t="s">
        <v>947</v>
      </c>
      <c r="G194" s="14" t="s">
        <v>1406</v>
      </c>
      <c r="H194" s="2" t="s">
        <v>34</v>
      </c>
    </row>
    <row r="195" spans="1:8" ht="20" customHeight="1" x14ac:dyDescent="0.35">
      <c r="A195" s="2" t="s">
        <v>948</v>
      </c>
      <c r="B195" s="2" t="s">
        <v>949</v>
      </c>
      <c r="C195" s="3" t="s">
        <v>950</v>
      </c>
      <c r="D195" s="4" t="s">
        <v>776</v>
      </c>
      <c r="E195" s="3" t="s">
        <v>951</v>
      </c>
      <c r="F195" s="3"/>
      <c r="G195" s="14" t="s">
        <v>1408</v>
      </c>
      <c r="H195" s="2" t="s">
        <v>41</v>
      </c>
    </row>
    <row r="196" spans="1:8" ht="20" customHeight="1" x14ac:dyDescent="0.35">
      <c r="A196" s="2" t="s">
        <v>952</v>
      </c>
      <c r="B196" s="2" t="s">
        <v>953</v>
      </c>
      <c r="C196" s="3" t="s">
        <v>954</v>
      </c>
      <c r="D196" s="4" t="s">
        <v>226</v>
      </c>
      <c r="E196" s="3" t="s">
        <v>955</v>
      </c>
      <c r="F196" s="3" t="s">
        <v>956</v>
      </c>
      <c r="G196" s="14" t="s">
        <v>144</v>
      </c>
      <c r="H196" s="2" t="s">
        <v>47</v>
      </c>
    </row>
    <row r="197" spans="1:8" ht="20" customHeight="1" x14ac:dyDescent="0.35">
      <c r="A197" s="2" t="s">
        <v>957</v>
      </c>
      <c r="B197" s="2" t="s">
        <v>958</v>
      </c>
      <c r="C197" s="3" t="s">
        <v>242</v>
      </c>
      <c r="D197" s="4" t="s">
        <v>116</v>
      </c>
      <c r="E197" s="3" t="s">
        <v>959</v>
      </c>
      <c r="F197" s="3" t="s">
        <v>960</v>
      </c>
      <c r="G197" s="14" t="s">
        <v>1407</v>
      </c>
      <c r="H197" s="2" t="s">
        <v>41</v>
      </c>
    </row>
    <row r="198" spans="1:8" ht="20" customHeight="1" x14ac:dyDescent="0.35">
      <c r="A198" s="2" t="s">
        <v>961</v>
      </c>
      <c r="B198" s="2" t="s">
        <v>962</v>
      </c>
      <c r="C198" s="3" t="s">
        <v>281</v>
      </c>
      <c r="D198" s="4" t="s">
        <v>963</v>
      </c>
      <c r="E198" s="3"/>
      <c r="F198" s="3" t="s">
        <v>964</v>
      </c>
      <c r="G198" s="14" t="s">
        <v>33</v>
      </c>
      <c r="H198" s="2" t="s">
        <v>21</v>
      </c>
    </row>
    <row r="199" spans="1:8" ht="20" customHeight="1" x14ac:dyDescent="0.35">
      <c r="A199" s="2" t="s">
        <v>965</v>
      </c>
      <c r="B199" s="2" t="s">
        <v>966</v>
      </c>
      <c r="C199" s="3" t="s">
        <v>967</v>
      </c>
      <c r="D199" s="4" t="s">
        <v>442</v>
      </c>
      <c r="E199" s="3" t="s">
        <v>968</v>
      </c>
      <c r="F199" s="3" t="s">
        <v>969</v>
      </c>
      <c r="G199" s="14" t="s">
        <v>144</v>
      </c>
      <c r="H199" s="2" t="s">
        <v>60</v>
      </c>
    </row>
    <row r="200" spans="1:8" ht="20" customHeight="1" x14ac:dyDescent="0.35">
      <c r="A200" s="2" t="s">
        <v>970</v>
      </c>
      <c r="B200" s="2" t="s">
        <v>971</v>
      </c>
      <c r="C200" s="3" t="s">
        <v>383</v>
      </c>
      <c r="D200" s="4" t="s">
        <v>972</v>
      </c>
      <c r="E200" s="3"/>
      <c r="F200" s="3" t="s">
        <v>973</v>
      </c>
      <c r="G200" s="14" t="s">
        <v>1406</v>
      </c>
      <c r="H200" s="2" t="s">
        <v>47</v>
      </c>
    </row>
    <row r="201" spans="1:8" ht="20" customHeight="1" x14ac:dyDescent="0.35">
      <c r="A201" s="2" t="s">
        <v>974</v>
      </c>
      <c r="B201" s="2" t="s">
        <v>975</v>
      </c>
      <c r="C201" s="3" t="s">
        <v>323</v>
      </c>
      <c r="D201" s="4" t="s">
        <v>82</v>
      </c>
      <c r="E201" s="3" t="s">
        <v>976</v>
      </c>
      <c r="F201" s="3" t="s">
        <v>977</v>
      </c>
      <c r="G201" s="14" t="s">
        <v>1407</v>
      </c>
      <c r="H201" s="2" t="s">
        <v>14</v>
      </c>
    </row>
    <row r="202" spans="1:8" ht="20" customHeight="1" x14ac:dyDescent="0.35">
      <c r="A202" s="2" t="s">
        <v>978</v>
      </c>
      <c r="B202" s="2" t="s">
        <v>557</v>
      </c>
      <c r="C202" s="3" t="s">
        <v>979</v>
      </c>
      <c r="D202" s="4" t="s">
        <v>412</v>
      </c>
      <c r="E202" s="3" t="s">
        <v>980</v>
      </c>
      <c r="F202" s="3" t="s">
        <v>981</v>
      </c>
      <c r="G202" s="14" t="s">
        <v>20</v>
      </c>
      <c r="H202" s="2" t="s">
        <v>60</v>
      </c>
    </row>
    <row r="203" spans="1:8" ht="20" customHeight="1" x14ac:dyDescent="0.35">
      <c r="A203" s="2" t="s">
        <v>982</v>
      </c>
      <c r="B203" s="2" t="s">
        <v>836</v>
      </c>
      <c r="C203" s="3" t="s">
        <v>157</v>
      </c>
      <c r="D203" s="4" t="s">
        <v>983</v>
      </c>
      <c r="E203" s="3"/>
      <c r="F203" s="3" t="s">
        <v>984</v>
      </c>
      <c r="G203" s="14" t="s">
        <v>144</v>
      </c>
      <c r="H203" s="2" t="s">
        <v>47</v>
      </c>
    </row>
    <row r="204" spans="1:8" ht="20" customHeight="1" x14ac:dyDescent="0.35">
      <c r="A204" s="2" t="s">
        <v>985</v>
      </c>
      <c r="B204" s="2" t="s">
        <v>986</v>
      </c>
      <c r="C204" s="3" t="s">
        <v>435</v>
      </c>
      <c r="D204" s="4" t="s">
        <v>116</v>
      </c>
      <c r="E204" s="3" t="s">
        <v>987</v>
      </c>
      <c r="F204" s="3" t="s">
        <v>988</v>
      </c>
      <c r="G204" s="14" t="s">
        <v>1407</v>
      </c>
      <c r="H204" s="2" t="s">
        <v>47</v>
      </c>
    </row>
    <row r="205" spans="1:8" ht="20" customHeight="1" x14ac:dyDescent="0.35">
      <c r="A205" s="2" t="s">
        <v>989</v>
      </c>
      <c r="B205" s="2" t="s">
        <v>990</v>
      </c>
      <c r="C205" s="3" t="s">
        <v>318</v>
      </c>
      <c r="D205" s="4" t="s">
        <v>38</v>
      </c>
      <c r="E205" s="3" t="s">
        <v>991</v>
      </c>
      <c r="F205" s="3" t="s">
        <v>992</v>
      </c>
      <c r="G205" s="14" t="s">
        <v>1406</v>
      </c>
      <c r="H205" s="2" t="s">
        <v>60</v>
      </c>
    </row>
    <row r="206" spans="1:8" ht="20" customHeight="1" x14ac:dyDescent="0.35">
      <c r="A206" s="2" t="s">
        <v>993</v>
      </c>
      <c r="B206" s="2" t="s">
        <v>994</v>
      </c>
      <c r="C206" s="3" t="s">
        <v>995</v>
      </c>
      <c r="D206" s="4" t="s">
        <v>996</v>
      </c>
      <c r="E206" s="3" t="s">
        <v>997</v>
      </c>
      <c r="F206" s="3" t="s">
        <v>998</v>
      </c>
      <c r="G206" s="14" t="s">
        <v>1408</v>
      </c>
      <c r="H206" s="2" t="s">
        <v>60</v>
      </c>
    </row>
    <row r="207" spans="1:8" ht="20" customHeight="1" x14ac:dyDescent="0.35">
      <c r="A207" s="2" t="s">
        <v>999</v>
      </c>
      <c r="B207" s="2" t="s">
        <v>1000</v>
      </c>
      <c r="C207" s="3" t="s">
        <v>1001</v>
      </c>
      <c r="D207" s="4" t="s">
        <v>82</v>
      </c>
      <c r="E207" s="3"/>
      <c r="F207" s="3" t="s">
        <v>1002</v>
      </c>
      <c r="G207" s="14" t="s">
        <v>33</v>
      </c>
      <c r="H207" s="2" t="s">
        <v>34</v>
      </c>
    </row>
    <row r="208" spans="1:8" ht="20" customHeight="1" x14ac:dyDescent="0.35">
      <c r="A208" s="2" t="s">
        <v>1003</v>
      </c>
      <c r="B208" s="2" t="s">
        <v>1004</v>
      </c>
      <c r="C208" s="3" t="s">
        <v>1005</v>
      </c>
      <c r="D208" s="4" t="s">
        <v>855</v>
      </c>
      <c r="E208" s="3" t="s">
        <v>1006</v>
      </c>
      <c r="F208" s="3" t="s">
        <v>1007</v>
      </c>
      <c r="G208" s="14" t="s">
        <v>33</v>
      </c>
      <c r="H208" s="2" t="s">
        <v>207</v>
      </c>
    </row>
    <row r="209" spans="1:8" ht="20" customHeight="1" x14ac:dyDescent="0.35">
      <c r="A209" s="2" t="s">
        <v>1008</v>
      </c>
      <c r="B209" s="2" t="s">
        <v>1009</v>
      </c>
      <c r="C209" s="3" t="s">
        <v>1010</v>
      </c>
      <c r="D209" s="4" t="s">
        <v>116</v>
      </c>
      <c r="E209" s="3" t="s">
        <v>1011</v>
      </c>
      <c r="F209" s="3" t="s">
        <v>1012</v>
      </c>
      <c r="G209" s="14" t="s">
        <v>1407</v>
      </c>
      <c r="H209" s="2" t="s">
        <v>60</v>
      </c>
    </row>
    <row r="210" spans="1:8" ht="20" customHeight="1" x14ac:dyDescent="0.35">
      <c r="A210" s="2" t="s">
        <v>1013</v>
      </c>
      <c r="B210" s="2" t="s">
        <v>1014</v>
      </c>
      <c r="C210" s="3" t="s">
        <v>628</v>
      </c>
      <c r="D210" s="4" t="s">
        <v>204</v>
      </c>
      <c r="E210" s="3" t="s">
        <v>1015</v>
      </c>
      <c r="F210" s="3" t="s">
        <v>1016</v>
      </c>
      <c r="G210" s="14" t="s">
        <v>20</v>
      </c>
      <c r="H210" s="2" t="s">
        <v>47</v>
      </c>
    </row>
    <row r="211" spans="1:8" ht="20" customHeight="1" x14ac:dyDescent="0.35">
      <c r="A211" s="2" t="s">
        <v>1017</v>
      </c>
      <c r="B211" s="2" t="s">
        <v>1018</v>
      </c>
      <c r="C211" s="3" t="s">
        <v>1001</v>
      </c>
      <c r="D211" s="4" t="s">
        <v>121</v>
      </c>
      <c r="E211" s="3"/>
      <c r="F211" s="3" t="s">
        <v>1019</v>
      </c>
      <c r="G211" s="14" t="s">
        <v>1407</v>
      </c>
      <c r="H211" s="2" t="s">
        <v>34</v>
      </c>
    </row>
    <row r="212" spans="1:8" ht="20" customHeight="1" x14ac:dyDescent="0.35">
      <c r="A212" s="2" t="s">
        <v>1020</v>
      </c>
      <c r="B212" s="2" t="s">
        <v>387</v>
      </c>
      <c r="C212" s="3" t="s">
        <v>1021</v>
      </c>
      <c r="D212" s="4" t="s">
        <v>116</v>
      </c>
      <c r="E212" s="3" t="s">
        <v>1022</v>
      </c>
      <c r="F212" s="3" t="s">
        <v>1023</v>
      </c>
      <c r="G212" s="14" t="s">
        <v>1405</v>
      </c>
      <c r="H212" s="2" t="s">
        <v>34</v>
      </c>
    </row>
    <row r="213" spans="1:8" ht="20" customHeight="1" x14ac:dyDescent="0.35">
      <c r="A213" s="2" t="s">
        <v>1024</v>
      </c>
      <c r="B213" s="2" t="s">
        <v>1025</v>
      </c>
      <c r="C213" s="3" t="s">
        <v>1026</v>
      </c>
      <c r="D213" s="4" t="s">
        <v>1027</v>
      </c>
      <c r="E213" s="3"/>
      <c r="F213" s="3" t="s">
        <v>1028</v>
      </c>
      <c r="G213" s="14" t="s">
        <v>33</v>
      </c>
      <c r="H213" s="2" t="s">
        <v>47</v>
      </c>
    </row>
    <row r="214" spans="1:8" ht="20" customHeight="1" x14ac:dyDescent="0.35">
      <c r="A214" s="2" t="s">
        <v>1029</v>
      </c>
      <c r="B214" s="2" t="s">
        <v>1030</v>
      </c>
      <c r="C214" s="3" t="s">
        <v>1031</v>
      </c>
      <c r="D214" s="4" t="s">
        <v>1032</v>
      </c>
      <c r="E214" s="3" t="s">
        <v>1033</v>
      </c>
      <c r="F214" s="3" t="s">
        <v>1034</v>
      </c>
      <c r="G214" s="14" t="s">
        <v>1407</v>
      </c>
      <c r="H214" s="2" t="s">
        <v>21</v>
      </c>
    </row>
    <row r="215" spans="1:8" ht="20" customHeight="1" x14ac:dyDescent="0.35">
      <c r="A215" s="2" t="s">
        <v>1035</v>
      </c>
      <c r="B215" s="2" t="s">
        <v>1036</v>
      </c>
      <c r="C215" s="3" t="s">
        <v>628</v>
      </c>
      <c r="D215" s="4" t="s">
        <v>116</v>
      </c>
      <c r="E215" s="3" t="s">
        <v>1037</v>
      </c>
      <c r="F215" s="3" t="s">
        <v>1038</v>
      </c>
      <c r="G215" s="14" t="s">
        <v>1404</v>
      </c>
      <c r="H215" s="2" t="s">
        <v>47</v>
      </c>
    </row>
    <row r="216" spans="1:8" ht="20" customHeight="1" x14ac:dyDescent="0.35">
      <c r="A216" s="2" t="s">
        <v>1039</v>
      </c>
      <c r="B216" s="2" t="s">
        <v>1040</v>
      </c>
      <c r="C216" s="3" t="s">
        <v>1041</v>
      </c>
      <c r="D216" s="4" t="s">
        <v>461</v>
      </c>
      <c r="E216" s="3" t="s">
        <v>1042</v>
      </c>
      <c r="F216" s="3" t="s">
        <v>1043</v>
      </c>
      <c r="G216" s="14" t="s">
        <v>33</v>
      </c>
      <c r="H216" s="2" t="s">
        <v>21</v>
      </c>
    </row>
    <row r="217" spans="1:8" ht="20" customHeight="1" x14ac:dyDescent="0.35">
      <c r="A217" s="2" t="s">
        <v>1044</v>
      </c>
      <c r="B217" s="2" t="s">
        <v>1045</v>
      </c>
      <c r="C217" s="3" t="s">
        <v>347</v>
      </c>
      <c r="D217" s="4" t="s">
        <v>1046</v>
      </c>
      <c r="E217" s="3" t="s">
        <v>1047</v>
      </c>
      <c r="F217" s="3" t="s">
        <v>1048</v>
      </c>
      <c r="G217" s="14" t="s">
        <v>1408</v>
      </c>
      <c r="H217" s="2" t="s">
        <v>41</v>
      </c>
    </row>
    <row r="218" spans="1:8" ht="20" customHeight="1" x14ac:dyDescent="0.35">
      <c r="A218" s="2" t="s">
        <v>1049</v>
      </c>
      <c r="B218" s="2" t="s">
        <v>1050</v>
      </c>
      <c r="C218" s="3" t="s">
        <v>10</v>
      </c>
      <c r="D218" s="4" t="s">
        <v>88</v>
      </c>
      <c r="E218" s="3"/>
      <c r="F218" s="3" t="s">
        <v>1051</v>
      </c>
      <c r="G218" s="14" t="s">
        <v>20</v>
      </c>
      <c r="H218" s="2" t="s">
        <v>14</v>
      </c>
    </row>
    <row r="219" spans="1:8" ht="20" customHeight="1" x14ac:dyDescent="0.35">
      <c r="A219" s="2" t="s">
        <v>1052</v>
      </c>
      <c r="B219" s="2" t="s">
        <v>1053</v>
      </c>
      <c r="C219" s="3" t="s">
        <v>1054</v>
      </c>
      <c r="D219" s="4" t="s">
        <v>204</v>
      </c>
      <c r="E219" s="3" t="s">
        <v>1055</v>
      </c>
      <c r="F219" s="3" t="s">
        <v>1056</v>
      </c>
      <c r="G219" s="14" t="s">
        <v>1408</v>
      </c>
      <c r="H219" s="2" t="s">
        <v>47</v>
      </c>
    </row>
    <row r="220" spans="1:8" ht="20" customHeight="1" x14ac:dyDescent="0.35">
      <c r="A220" s="2" t="s">
        <v>1057</v>
      </c>
      <c r="B220" s="2" t="s">
        <v>1058</v>
      </c>
      <c r="C220" s="3" t="s">
        <v>1059</v>
      </c>
      <c r="D220" s="4" t="s">
        <v>752</v>
      </c>
      <c r="E220" s="3" t="s">
        <v>1060</v>
      </c>
      <c r="F220" s="3" t="s">
        <v>1061</v>
      </c>
      <c r="G220" s="14" t="s">
        <v>33</v>
      </c>
      <c r="H220" s="2" t="s">
        <v>60</v>
      </c>
    </row>
    <row r="221" spans="1:8" ht="20" customHeight="1" x14ac:dyDescent="0.35">
      <c r="A221" s="2" t="s">
        <v>1062</v>
      </c>
      <c r="B221" s="2" t="s">
        <v>1063</v>
      </c>
      <c r="C221" s="3" t="s">
        <v>1064</v>
      </c>
      <c r="D221" s="4" t="s">
        <v>412</v>
      </c>
      <c r="E221" s="3" t="s">
        <v>1065</v>
      </c>
      <c r="F221" s="3" t="s">
        <v>1066</v>
      </c>
      <c r="G221" s="14" t="s">
        <v>1405</v>
      </c>
      <c r="H221" s="2" t="s">
        <v>21</v>
      </c>
    </row>
    <row r="222" spans="1:8" ht="20" customHeight="1" x14ac:dyDescent="0.35">
      <c r="A222" s="2" t="s">
        <v>1067</v>
      </c>
      <c r="B222" s="2" t="s">
        <v>1068</v>
      </c>
      <c r="C222" s="3" t="s">
        <v>1069</v>
      </c>
      <c r="D222" s="4" t="s">
        <v>526</v>
      </c>
      <c r="E222" s="3" t="s">
        <v>1070</v>
      </c>
      <c r="F222" s="3" t="s">
        <v>1071</v>
      </c>
      <c r="G222" s="14" t="s">
        <v>33</v>
      </c>
      <c r="H222" s="2" t="s">
        <v>60</v>
      </c>
    </row>
    <row r="223" spans="1:8" ht="20" customHeight="1" x14ac:dyDescent="0.35">
      <c r="A223" s="2" t="s">
        <v>1072</v>
      </c>
      <c r="B223" s="2" t="s">
        <v>840</v>
      </c>
      <c r="C223" s="3" t="s">
        <v>383</v>
      </c>
      <c r="D223" s="4" t="s">
        <v>378</v>
      </c>
      <c r="E223" s="3" t="s">
        <v>1073</v>
      </c>
      <c r="F223" s="3"/>
      <c r="G223" s="14" t="s">
        <v>1405</v>
      </c>
      <c r="H223" s="2" t="s">
        <v>47</v>
      </c>
    </row>
    <row r="224" spans="1:8" ht="20" customHeight="1" x14ac:dyDescent="0.35">
      <c r="A224" s="2" t="s">
        <v>1074</v>
      </c>
      <c r="B224" s="2" t="s">
        <v>328</v>
      </c>
      <c r="C224" s="3" t="s">
        <v>775</v>
      </c>
      <c r="D224" s="4" t="s">
        <v>121</v>
      </c>
      <c r="E224" s="3"/>
      <c r="F224" s="3" t="s">
        <v>1075</v>
      </c>
      <c r="G224" s="14" t="s">
        <v>144</v>
      </c>
      <c r="H224" s="2" t="s">
        <v>47</v>
      </c>
    </row>
    <row r="225" spans="1:8" ht="20" customHeight="1" x14ac:dyDescent="0.35">
      <c r="A225" s="2" t="s">
        <v>1076</v>
      </c>
      <c r="B225" s="2" t="s">
        <v>1077</v>
      </c>
      <c r="C225" s="3" t="s">
        <v>687</v>
      </c>
      <c r="D225" s="4" t="s">
        <v>194</v>
      </c>
      <c r="E225" s="3" t="s">
        <v>1078</v>
      </c>
      <c r="F225" s="3" t="s">
        <v>1079</v>
      </c>
      <c r="G225" s="14" t="s">
        <v>20</v>
      </c>
      <c r="H225" s="2" t="s">
        <v>41</v>
      </c>
    </row>
    <row r="226" spans="1:8" ht="20" customHeight="1" x14ac:dyDescent="0.35">
      <c r="A226" s="2" t="s">
        <v>1080</v>
      </c>
      <c r="B226" s="2" t="s">
        <v>1081</v>
      </c>
      <c r="C226" s="3" t="s">
        <v>1082</v>
      </c>
      <c r="D226" s="4" t="s">
        <v>82</v>
      </c>
      <c r="E226" s="3" t="s">
        <v>1083</v>
      </c>
      <c r="F226" s="3" t="s">
        <v>1084</v>
      </c>
      <c r="G226" s="14" t="s">
        <v>144</v>
      </c>
      <c r="H226" s="2" t="s">
        <v>207</v>
      </c>
    </row>
    <row r="227" spans="1:8" ht="20" customHeight="1" x14ac:dyDescent="0.35">
      <c r="A227" s="2" t="s">
        <v>1085</v>
      </c>
      <c r="B227" s="2" t="s">
        <v>883</v>
      </c>
      <c r="C227" s="3" t="s">
        <v>918</v>
      </c>
      <c r="D227" s="4" t="s">
        <v>82</v>
      </c>
      <c r="E227" s="3" t="s">
        <v>1086</v>
      </c>
      <c r="F227" s="3" t="s">
        <v>1087</v>
      </c>
      <c r="G227" s="14" t="s">
        <v>1404</v>
      </c>
      <c r="H227" s="2" t="s">
        <v>47</v>
      </c>
    </row>
    <row r="228" spans="1:8" ht="20" customHeight="1" x14ac:dyDescent="0.35">
      <c r="A228" s="2" t="s">
        <v>1088</v>
      </c>
      <c r="B228" s="2" t="s">
        <v>1089</v>
      </c>
      <c r="C228" s="3" t="s">
        <v>576</v>
      </c>
      <c r="D228" s="4" t="s">
        <v>82</v>
      </c>
      <c r="E228" s="3" t="s">
        <v>1090</v>
      </c>
      <c r="F228" s="3" t="s">
        <v>1091</v>
      </c>
      <c r="G228" s="14" t="s">
        <v>33</v>
      </c>
      <c r="H228" s="2" t="s">
        <v>60</v>
      </c>
    </row>
    <row r="229" spans="1:8" ht="20" customHeight="1" x14ac:dyDescent="0.35">
      <c r="A229" s="2" t="s">
        <v>1092</v>
      </c>
      <c r="B229" s="2" t="s">
        <v>1093</v>
      </c>
      <c r="C229" s="3" t="s">
        <v>466</v>
      </c>
      <c r="D229" s="4" t="s">
        <v>70</v>
      </c>
      <c r="E229" s="3" t="s">
        <v>1094</v>
      </c>
      <c r="F229" s="3" t="s">
        <v>1095</v>
      </c>
      <c r="G229" s="14" t="s">
        <v>20</v>
      </c>
      <c r="H229" s="2" t="s">
        <v>21</v>
      </c>
    </row>
    <row r="230" spans="1:8" ht="20" customHeight="1" x14ac:dyDescent="0.35">
      <c r="A230" s="2" t="s">
        <v>1096</v>
      </c>
      <c r="B230" s="2" t="s">
        <v>1097</v>
      </c>
      <c r="C230" s="3" t="s">
        <v>1098</v>
      </c>
      <c r="D230" s="4" t="s">
        <v>70</v>
      </c>
      <c r="E230" s="3" t="s">
        <v>1099</v>
      </c>
      <c r="F230" s="3"/>
      <c r="G230" s="14" t="s">
        <v>144</v>
      </c>
      <c r="H230" s="2" t="s">
        <v>207</v>
      </c>
    </row>
    <row r="231" spans="1:8" ht="20" customHeight="1" x14ac:dyDescent="0.35">
      <c r="A231" s="2" t="s">
        <v>1100</v>
      </c>
      <c r="B231" s="2" t="s">
        <v>1101</v>
      </c>
      <c r="C231" s="3" t="s">
        <v>691</v>
      </c>
      <c r="D231" s="4" t="s">
        <v>116</v>
      </c>
      <c r="E231" s="3" t="s">
        <v>1102</v>
      </c>
      <c r="F231" s="3" t="s">
        <v>1103</v>
      </c>
      <c r="G231" s="14" t="s">
        <v>33</v>
      </c>
      <c r="H231" s="2" t="s">
        <v>21</v>
      </c>
    </row>
    <row r="232" spans="1:8" ht="20" customHeight="1" x14ac:dyDescent="0.35">
      <c r="A232" s="2" t="s">
        <v>1104</v>
      </c>
      <c r="B232" s="2" t="s">
        <v>733</v>
      </c>
      <c r="C232" s="3" t="s">
        <v>1105</v>
      </c>
      <c r="D232" s="4" t="s">
        <v>276</v>
      </c>
      <c r="E232" s="3" t="s">
        <v>1106</v>
      </c>
      <c r="F232" s="3" t="s">
        <v>1107</v>
      </c>
      <c r="G232" s="14" t="s">
        <v>1408</v>
      </c>
      <c r="H232" s="2" t="s">
        <v>60</v>
      </c>
    </row>
    <row r="233" spans="1:8" ht="20" customHeight="1" x14ac:dyDescent="0.35">
      <c r="A233" s="2" t="s">
        <v>1108</v>
      </c>
      <c r="B233" s="2" t="s">
        <v>922</v>
      </c>
      <c r="C233" s="3" t="s">
        <v>1109</v>
      </c>
      <c r="D233" s="4" t="s">
        <v>313</v>
      </c>
      <c r="E233" s="3" t="s">
        <v>1110</v>
      </c>
      <c r="F233" s="3" t="s">
        <v>1111</v>
      </c>
      <c r="G233" s="14" t="s">
        <v>1408</v>
      </c>
      <c r="H233" s="2" t="s">
        <v>60</v>
      </c>
    </row>
    <row r="234" spans="1:8" ht="20" customHeight="1" x14ac:dyDescent="0.35">
      <c r="A234" s="2" t="s">
        <v>1112</v>
      </c>
      <c r="B234" s="2" t="s">
        <v>520</v>
      </c>
      <c r="C234" s="3" t="s">
        <v>1113</v>
      </c>
      <c r="D234" s="4" t="s">
        <v>111</v>
      </c>
      <c r="E234" s="3" t="s">
        <v>1114</v>
      </c>
      <c r="F234" s="3" t="s">
        <v>1115</v>
      </c>
      <c r="G234" s="14" t="s">
        <v>1406</v>
      </c>
      <c r="H234" s="2" t="s">
        <v>14</v>
      </c>
    </row>
    <row r="235" spans="1:8" ht="20" customHeight="1" x14ac:dyDescent="0.35">
      <c r="A235" s="2" t="s">
        <v>1116</v>
      </c>
      <c r="B235" s="2" t="s">
        <v>1117</v>
      </c>
      <c r="C235" s="3" t="s">
        <v>17</v>
      </c>
      <c r="D235" s="4" t="s">
        <v>121</v>
      </c>
      <c r="E235" s="3" t="s">
        <v>1118</v>
      </c>
      <c r="F235" s="3" t="s">
        <v>1119</v>
      </c>
      <c r="G235" s="14" t="s">
        <v>1404</v>
      </c>
      <c r="H235" s="2" t="s">
        <v>21</v>
      </c>
    </row>
    <row r="236" spans="1:8" ht="20" customHeight="1" x14ac:dyDescent="0.35">
      <c r="A236" s="2" t="s">
        <v>1120</v>
      </c>
      <c r="B236" s="2" t="s">
        <v>1121</v>
      </c>
      <c r="C236" s="3" t="s">
        <v>259</v>
      </c>
      <c r="D236" s="4" t="s">
        <v>38</v>
      </c>
      <c r="E236" s="3"/>
      <c r="F236" s="3" t="s">
        <v>1122</v>
      </c>
      <c r="G236" s="14" t="s">
        <v>1406</v>
      </c>
      <c r="H236" s="2" t="s">
        <v>60</v>
      </c>
    </row>
    <row r="237" spans="1:8" ht="20" customHeight="1" x14ac:dyDescent="0.35">
      <c r="A237" s="2" t="s">
        <v>1123</v>
      </c>
      <c r="B237" s="2" t="s">
        <v>1117</v>
      </c>
      <c r="C237" s="3" t="s">
        <v>1124</v>
      </c>
      <c r="D237" s="4" t="s">
        <v>82</v>
      </c>
      <c r="E237" s="3" t="s">
        <v>1125</v>
      </c>
      <c r="F237" s="3" t="s">
        <v>1126</v>
      </c>
      <c r="G237" s="14" t="s">
        <v>1408</v>
      </c>
      <c r="H237" s="2" t="s">
        <v>14</v>
      </c>
    </row>
    <row r="238" spans="1:8" ht="20" customHeight="1" x14ac:dyDescent="0.35">
      <c r="A238" s="2" t="s">
        <v>1127</v>
      </c>
      <c r="B238" s="2" t="s">
        <v>1128</v>
      </c>
      <c r="C238" s="3" t="s">
        <v>899</v>
      </c>
      <c r="D238" s="4" t="s">
        <v>436</v>
      </c>
      <c r="E238" s="3" t="s">
        <v>1129</v>
      </c>
      <c r="F238" s="3" t="s">
        <v>1130</v>
      </c>
      <c r="G238" s="14" t="s">
        <v>1406</v>
      </c>
      <c r="H238" s="2" t="s">
        <v>41</v>
      </c>
    </row>
    <row r="239" spans="1:8" ht="20" customHeight="1" x14ac:dyDescent="0.35">
      <c r="A239" s="2" t="s">
        <v>1131</v>
      </c>
      <c r="B239" s="2" t="s">
        <v>280</v>
      </c>
      <c r="C239" s="3" t="s">
        <v>602</v>
      </c>
      <c r="D239" s="4" t="s">
        <v>1132</v>
      </c>
      <c r="E239" s="3" t="s">
        <v>1133</v>
      </c>
      <c r="F239" s="3" t="s">
        <v>1134</v>
      </c>
      <c r="G239" s="14" t="s">
        <v>1406</v>
      </c>
      <c r="H239" s="2" t="s">
        <v>47</v>
      </c>
    </row>
    <row r="240" spans="1:8" ht="20" customHeight="1" x14ac:dyDescent="0.35">
      <c r="A240" s="2" t="s">
        <v>1135</v>
      </c>
      <c r="B240" s="2" t="s">
        <v>1136</v>
      </c>
      <c r="C240" s="3" t="s">
        <v>865</v>
      </c>
      <c r="D240" s="4" t="s">
        <v>692</v>
      </c>
      <c r="E240" s="3" t="s">
        <v>1137</v>
      </c>
      <c r="F240" s="3" t="s">
        <v>1138</v>
      </c>
      <c r="G240" s="14" t="s">
        <v>1405</v>
      </c>
      <c r="H240" s="2" t="s">
        <v>47</v>
      </c>
    </row>
    <row r="241" spans="1:8" ht="20" customHeight="1" x14ac:dyDescent="0.35">
      <c r="A241" s="2" t="s">
        <v>1139</v>
      </c>
      <c r="B241" s="2" t="s">
        <v>187</v>
      </c>
      <c r="C241" s="3" t="s">
        <v>865</v>
      </c>
      <c r="D241" s="4" t="s">
        <v>116</v>
      </c>
      <c r="E241" s="3" t="s">
        <v>1140</v>
      </c>
      <c r="F241" s="3" t="s">
        <v>1141</v>
      </c>
      <c r="G241" s="14" t="s">
        <v>1406</v>
      </c>
      <c r="H241" s="2" t="s">
        <v>47</v>
      </c>
    </row>
    <row r="242" spans="1:8" ht="20" customHeight="1" x14ac:dyDescent="0.35">
      <c r="A242" s="2" t="s">
        <v>1142</v>
      </c>
      <c r="B242" s="2" t="s">
        <v>1143</v>
      </c>
      <c r="C242" s="3" t="s">
        <v>1144</v>
      </c>
      <c r="D242" s="4" t="s">
        <v>924</v>
      </c>
      <c r="E242" s="3" t="s">
        <v>1145</v>
      </c>
      <c r="F242" s="3" t="s">
        <v>1146</v>
      </c>
      <c r="G242" s="14" t="s">
        <v>1408</v>
      </c>
      <c r="H242" s="2" t="s">
        <v>14</v>
      </c>
    </row>
    <row r="243" spans="1:8" ht="20" customHeight="1" x14ac:dyDescent="0.35">
      <c r="A243" s="2" t="s">
        <v>1147</v>
      </c>
      <c r="B243" s="2" t="s">
        <v>1148</v>
      </c>
      <c r="C243" s="3" t="s">
        <v>237</v>
      </c>
      <c r="D243" s="4" t="s">
        <v>1149</v>
      </c>
      <c r="E243" s="3" t="s">
        <v>1150</v>
      </c>
      <c r="F243" s="3"/>
      <c r="G243" s="14" t="s">
        <v>1406</v>
      </c>
      <c r="H243" s="2" t="s">
        <v>14</v>
      </c>
    </row>
    <row r="244" spans="1:8" ht="20" customHeight="1" x14ac:dyDescent="0.35">
      <c r="A244" s="2" t="s">
        <v>1151</v>
      </c>
      <c r="B244" s="2" t="s">
        <v>853</v>
      </c>
      <c r="C244" s="3" t="s">
        <v>929</v>
      </c>
      <c r="D244" s="4" t="s">
        <v>82</v>
      </c>
      <c r="E244" s="3" t="s">
        <v>1152</v>
      </c>
      <c r="F244" s="3"/>
      <c r="G244" s="14" t="s">
        <v>1406</v>
      </c>
      <c r="H244" s="2" t="s">
        <v>60</v>
      </c>
    </row>
    <row r="245" spans="1:8" ht="20" customHeight="1" x14ac:dyDescent="0.35">
      <c r="A245" s="2" t="s">
        <v>1153</v>
      </c>
      <c r="B245" s="2" t="s">
        <v>1154</v>
      </c>
      <c r="C245" s="3" t="s">
        <v>364</v>
      </c>
      <c r="D245" s="4" t="s">
        <v>453</v>
      </c>
      <c r="E245" s="3" t="s">
        <v>1155</v>
      </c>
      <c r="F245" s="3" t="s">
        <v>1156</v>
      </c>
      <c r="G245" s="14" t="s">
        <v>1408</v>
      </c>
      <c r="H245" s="2" t="s">
        <v>34</v>
      </c>
    </row>
    <row r="246" spans="1:8" ht="20" customHeight="1" x14ac:dyDescent="0.35">
      <c r="A246" s="2" t="s">
        <v>1157</v>
      </c>
      <c r="B246" s="2" t="s">
        <v>1158</v>
      </c>
      <c r="C246" s="3" t="s">
        <v>1159</v>
      </c>
      <c r="D246" s="4" t="s">
        <v>370</v>
      </c>
      <c r="E246" s="3" t="s">
        <v>1160</v>
      </c>
      <c r="F246" s="3" t="s">
        <v>1161</v>
      </c>
      <c r="G246" s="14" t="s">
        <v>1407</v>
      </c>
      <c r="H246" s="2" t="s">
        <v>41</v>
      </c>
    </row>
    <row r="247" spans="1:8" ht="20" customHeight="1" x14ac:dyDescent="0.35">
      <c r="A247" s="2" t="s">
        <v>1162</v>
      </c>
      <c r="B247" s="2" t="s">
        <v>1163</v>
      </c>
      <c r="C247" s="3" t="s">
        <v>37</v>
      </c>
      <c r="D247" s="4" t="s">
        <v>1164</v>
      </c>
      <c r="E247" s="3" t="s">
        <v>1165</v>
      </c>
      <c r="F247" s="3" t="s">
        <v>1166</v>
      </c>
      <c r="G247" s="14" t="s">
        <v>1408</v>
      </c>
      <c r="H247" s="2" t="s">
        <v>41</v>
      </c>
    </row>
    <row r="248" spans="1:8" ht="20" customHeight="1" x14ac:dyDescent="0.35">
      <c r="A248" s="2" t="s">
        <v>1167</v>
      </c>
      <c r="B248" s="2" t="s">
        <v>1168</v>
      </c>
      <c r="C248" s="3" t="s">
        <v>1169</v>
      </c>
      <c r="D248" s="4" t="s">
        <v>348</v>
      </c>
      <c r="E248" s="3" t="s">
        <v>1170</v>
      </c>
      <c r="F248" s="3" t="s">
        <v>1171</v>
      </c>
      <c r="G248" s="14" t="s">
        <v>20</v>
      </c>
      <c r="H248" s="2" t="s">
        <v>34</v>
      </c>
    </row>
    <row r="249" spans="1:8" ht="20" customHeight="1" x14ac:dyDescent="0.35">
      <c r="A249" s="2" t="s">
        <v>1172</v>
      </c>
      <c r="B249" s="2" t="s">
        <v>971</v>
      </c>
      <c r="C249" s="3" t="s">
        <v>1173</v>
      </c>
      <c r="D249" s="4" t="s">
        <v>116</v>
      </c>
      <c r="E249" s="3" t="s">
        <v>1174</v>
      </c>
      <c r="F249" s="3" t="s">
        <v>1175</v>
      </c>
      <c r="G249" s="14" t="s">
        <v>144</v>
      </c>
      <c r="H249" s="2" t="s">
        <v>47</v>
      </c>
    </row>
    <row r="250" spans="1:8" ht="20" customHeight="1" x14ac:dyDescent="0.35">
      <c r="A250" s="2" t="s">
        <v>1176</v>
      </c>
      <c r="B250" s="2" t="s">
        <v>253</v>
      </c>
      <c r="C250" s="3" t="s">
        <v>219</v>
      </c>
      <c r="D250" s="4" t="s">
        <v>1177</v>
      </c>
      <c r="E250" s="3"/>
      <c r="F250" s="3" t="s">
        <v>1178</v>
      </c>
      <c r="G250" s="14" t="s">
        <v>1406</v>
      </c>
      <c r="H250" s="2" t="s">
        <v>41</v>
      </c>
    </row>
    <row r="251" spans="1:8" ht="20" customHeight="1" x14ac:dyDescent="0.35">
      <c r="A251" s="2" t="s">
        <v>1179</v>
      </c>
      <c r="B251" s="2" t="s">
        <v>1180</v>
      </c>
      <c r="C251" s="3" t="s">
        <v>1105</v>
      </c>
      <c r="D251" s="4" t="s">
        <v>1181</v>
      </c>
      <c r="E251" s="3" t="s">
        <v>1182</v>
      </c>
      <c r="F251" s="3" t="s">
        <v>1183</v>
      </c>
      <c r="G251" s="14" t="s">
        <v>144</v>
      </c>
      <c r="H251" s="2" t="s">
        <v>60</v>
      </c>
    </row>
    <row r="252" spans="1:8" ht="20" customHeight="1" x14ac:dyDescent="0.35">
      <c r="A252" s="2" t="s">
        <v>1184</v>
      </c>
      <c r="B252" s="2" t="s">
        <v>1185</v>
      </c>
      <c r="C252" s="3" t="s">
        <v>1186</v>
      </c>
      <c r="D252" s="4" t="s">
        <v>526</v>
      </c>
      <c r="E252" s="3" t="s">
        <v>1187</v>
      </c>
      <c r="F252" s="3" t="s">
        <v>1188</v>
      </c>
      <c r="G252" s="14" t="s">
        <v>1404</v>
      </c>
      <c r="H252" s="2" t="s">
        <v>207</v>
      </c>
    </row>
    <row r="253" spans="1:8" ht="20" customHeight="1" x14ac:dyDescent="0.35">
      <c r="A253" s="2" t="s">
        <v>1189</v>
      </c>
      <c r="B253" s="2" t="s">
        <v>1190</v>
      </c>
      <c r="C253" s="3" t="s">
        <v>543</v>
      </c>
      <c r="D253" s="4" t="s">
        <v>18</v>
      </c>
      <c r="E253" s="3"/>
      <c r="F253" s="3" t="s">
        <v>1191</v>
      </c>
      <c r="G253" s="14" t="s">
        <v>33</v>
      </c>
      <c r="H253" s="2" t="s">
        <v>47</v>
      </c>
    </row>
    <row r="254" spans="1:8" ht="20" customHeight="1" x14ac:dyDescent="0.35">
      <c r="A254" s="2" t="s">
        <v>1192</v>
      </c>
      <c r="B254" s="2" t="s">
        <v>1193</v>
      </c>
      <c r="C254" s="3" t="s">
        <v>1194</v>
      </c>
      <c r="D254" s="4" t="s">
        <v>116</v>
      </c>
      <c r="E254" s="3" t="s">
        <v>1195</v>
      </c>
      <c r="F254" s="3" t="s">
        <v>1196</v>
      </c>
      <c r="G254" s="14" t="s">
        <v>20</v>
      </c>
      <c r="H254" s="2" t="s">
        <v>34</v>
      </c>
    </row>
    <row r="255" spans="1:8" ht="20" customHeight="1" x14ac:dyDescent="0.35">
      <c r="A255" s="2" t="s">
        <v>1197</v>
      </c>
      <c r="B255" s="2" t="s">
        <v>1198</v>
      </c>
      <c r="C255" s="3" t="s">
        <v>659</v>
      </c>
      <c r="D255" s="4" t="s">
        <v>983</v>
      </c>
      <c r="E255" s="3" t="s">
        <v>1199</v>
      </c>
      <c r="F255" s="3" t="s">
        <v>1200</v>
      </c>
      <c r="G255" s="14" t="s">
        <v>1407</v>
      </c>
      <c r="H255" s="2" t="s">
        <v>60</v>
      </c>
    </row>
    <row r="256" spans="1:8" ht="20" customHeight="1" x14ac:dyDescent="0.35">
      <c r="A256" s="2" t="s">
        <v>1201</v>
      </c>
      <c r="B256" s="2" t="s">
        <v>1202</v>
      </c>
      <c r="C256" s="3" t="s">
        <v>1203</v>
      </c>
      <c r="D256" s="4" t="s">
        <v>692</v>
      </c>
      <c r="E256" s="3" t="s">
        <v>1204</v>
      </c>
      <c r="F256" s="3" t="s">
        <v>1205</v>
      </c>
      <c r="G256" s="14" t="s">
        <v>144</v>
      </c>
      <c r="H256" s="2" t="s">
        <v>47</v>
      </c>
    </row>
    <row r="257" spans="1:8" ht="20" customHeight="1" x14ac:dyDescent="0.35">
      <c r="A257" s="2" t="s">
        <v>1206</v>
      </c>
      <c r="B257" s="2" t="s">
        <v>1207</v>
      </c>
      <c r="C257" s="3" t="s">
        <v>281</v>
      </c>
      <c r="D257" s="4" t="s">
        <v>18</v>
      </c>
      <c r="E257" s="3" t="s">
        <v>1208</v>
      </c>
      <c r="F257" s="3" t="s">
        <v>1209</v>
      </c>
      <c r="G257" s="14" t="s">
        <v>33</v>
      </c>
      <c r="H257" s="2" t="s">
        <v>21</v>
      </c>
    </row>
    <row r="258" spans="1:8" ht="20" customHeight="1" x14ac:dyDescent="0.35">
      <c r="A258" s="2" t="s">
        <v>1210</v>
      </c>
      <c r="B258" s="2" t="s">
        <v>1202</v>
      </c>
      <c r="C258" s="3" t="s">
        <v>105</v>
      </c>
      <c r="D258" s="4" t="s">
        <v>370</v>
      </c>
      <c r="E258" s="3" t="s">
        <v>1211</v>
      </c>
      <c r="F258" s="3"/>
      <c r="G258" s="14" t="s">
        <v>33</v>
      </c>
      <c r="H258" s="2" t="s">
        <v>41</v>
      </c>
    </row>
    <row r="259" spans="1:8" ht="20" customHeight="1" x14ac:dyDescent="0.35">
      <c r="A259" s="2" t="s">
        <v>1212</v>
      </c>
      <c r="B259" s="2" t="s">
        <v>1213</v>
      </c>
      <c r="C259" s="3" t="s">
        <v>1098</v>
      </c>
      <c r="D259" s="4" t="s">
        <v>82</v>
      </c>
      <c r="E259" s="3" t="s">
        <v>1214</v>
      </c>
      <c r="F259" s="3" t="s">
        <v>1215</v>
      </c>
      <c r="G259" s="14" t="s">
        <v>33</v>
      </c>
      <c r="H259" s="2" t="s">
        <v>207</v>
      </c>
    </row>
    <row r="260" spans="1:8" ht="20" customHeight="1" x14ac:dyDescent="0.35">
      <c r="A260" s="2" t="s">
        <v>1216</v>
      </c>
      <c r="B260" s="2" t="s">
        <v>585</v>
      </c>
      <c r="C260" s="3" t="s">
        <v>1217</v>
      </c>
      <c r="D260" s="4" t="s">
        <v>82</v>
      </c>
      <c r="E260" s="3" t="s">
        <v>1218</v>
      </c>
      <c r="F260" s="3" t="s">
        <v>1219</v>
      </c>
      <c r="G260" s="14" t="s">
        <v>144</v>
      </c>
      <c r="H260" s="2" t="s">
        <v>34</v>
      </c>
    </row>
    <row r="261" spans="1:8" ht="20" customHeight="1" x14ac:dyDescent="0.35">
      <c r="A261" s="2" t="s">
        <v>1220</v>
      </c>
      <c r="B261" s="2" t="s">
        <v>1221</v>
      </c>
      <c r="C261" s="3" t="s">
        <v>1222</v>
      </c>
      <c r="D261" s="4" t="s">
        <v>1223</v>
      </c>
      <c r="E261" s="3" t="s">
        <v>1224</v>
      </c>
      <c r="F261" s="3" t="s">
        <v>1225</v>
      </c>
      <c r="G261" s="14" t="s">
        <v>20</v>
      </c>
      <c r="H261" s="2" t="s">
        <v>47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61"/>
  <sheetViews>
    <sheetView workbookViewId="0">
      <pane ySplit="1" topLeftCell="A2" activePane="bottomLeft" state="frozen"/>
      <selection pane="bottomLeft" activeCell="F2" sqref="F2"/>
    </sheetView>
  </sheetViews>
  <sheetFormatPr defaultRowHeight="14.5" x14ac:dyDescent="0.35"/>
  <cols>
    <col min="1" max="1" width="22" customWidth="1"/>
    <col min="2" max="2" width="14" customWidth="1"/>
    <col min="3" max="3" width="12" customWidth="1"/>
    <col min="4" max="4" width="16" customWidth="1"/>
    <col min="5" max="5" width="14" customWidth="1"/>
    <col min="6" max="6" width="12" customWidth="1"/>
    <col min="7" max="7" width="67.90625" bestFit="1" customWidth="1"/>
    <col min="8" max="8" width="110.08984375" bestFit="1" customWidth="1"/>
    <col min="9" max="9" width="12" customWidth="1"/>
    <col min="10" max="10" width="16" customWidth="1"/>
    <col min="11" max="13" width="18" customWidth="1"/>
    <col min="14" max="14" width="21.08984375" bestFit="1" customWidth="1"/>
    <col min="15" max="15" width="16.90625" bestFit="1" customWidth="1"/>
    <col min="16" max="16" width="16.453125" bestFit="1" customWidth="1"/>
    <col min="17" max="17" width="21.6328125" bestFit="1" customWidth="1"/>
    <col min="18" max="18" width="22.36328125" bestFit="1" customWidth="1"/>
    <col min="19" max="19" width="39" bestFit="1" customWidth="1"/>
    <col min="20" max="20" width="20.7265625" bestFit="1" customWidth="1"/>
    <col min="21" max="21" width="24.453125" bestFit="1" customWidth="1"/>
    <col min="22" max="22" width="20.6328125" bestFit="1" customWidth="1"/>
    <col min="23" max="23" width="17.81640625" bestFit="1" customWidth="1"/>
    <col min="24" max="25" width="12" customWidth="1"/>
    <col min="26" max="26" width="14" customWidth="1"/>
    <col min="27" max="27" width="24" customWidth="1"/>
  </cols>
  <sheetData>
    <row r="1" spans="1:27" ht="24" customHeight="1" x14ac:dyDescent="0.35">
      <c r="A1" s="5" t="s">
        <v>1226</v>
      </c>
      <c r="B1" s="5" t="s">
        <v>0</v>
      </c>
      <c r="C1" s="5" t="s">
        <v>1</v>
      </c>
      <c r="D1" s="5" t="s">
        <v>1227</v>
      </c>
      <c r="E1" s="5" t="s">
        <v>7</v>
      </c>
      <c r="F1" s="5" t="s">
        <v>1228</v>
      </c>
      <c r="G1" s="5" t="s">
        <v>1229</v>
      </c>
      <c r="H1" s="5" t="s">
        <v>1230</v>
      </c>
      <c r="I1" s="5" t="s">
        <v>1231</v>
      </c>
      <c r="J1" s="5" t="s">
        <v>1232</v>
      </c>
      <c r="K1" s="5" t="s">
        <v>1233</v>
      </c>
      <c r="L1" s="5" t="s">
        <v>1234</v>
      </c>
      <c r="M1" s="5" t="s">
        <v>1235</v>
      </c>
      <c r="N1" s="5" t="s">
        <v>1236</v>
      </c>
      <c r="O1" s="5" t="s">
        <v>1237</v>
      </c>
      <c r="P1" s="5" t="s">
        <v>1238</v>
      </c>
      <c r="Q1" s="5" t="s">
        <v>1239</v>
      </c>
      <c r="R1" s="5" t="s">
        <v>1240</v>
      </c>
      <c r="S1" s="5" t="s">
        <v>1241</v>
      </c>
      <c r="T1" s="5" t="s">
        <v>1242</v>
      </c>
      <c r="U1" s="5" t="s">
        <v>1243</v>
      </c>
      <c r="V1" s="5" t="s">
        <v>1244</v>
      </c>
      <c r="W1" s="5" t="s">
        <v>1245</v>
      </c>
      <c r="X1" s="5" t="s">
        <v>1246</v>
      </c>
      <c r="Y1" s="5" t="s">
        <v>1247</v>
      </c>
      <c r="Z1" s="5" t="s">
        <v>1248</v>
      </c>
      <c r="AA1" s="5" t="s">
        <v>1249</v>
      </c>
    </row>
    <row r="2" spans="1:27" ht="20" customHeight="1" x14ac:dyDescent="0.35">
      <c r="A2" s="6" t="s">
        <v>1250</v>
      </c>
      <c r="B2" s="6" t="s">
        <v>8</v>
      </c>
      <c r="C2" s="13">
        <v>45470</v>
      </c>
      <c r="D2" s="6" t="s">
        <v>716</v>
      </c>
      <c r="E2" s="6" t="s">
        <v>14</v>
      </c>
      <c r="F2" s="6" t="s">
        <v>1406</v>
      </c>
      <c r="G2" s="7" t="s">
        <v>11</v>
      </c>
      <c r="H2" s="7" t="s">
        <v>1251</v>
      </c>
      <c r="I2" s="8" t="s">
        <v>1252</v>
      </c>
      <c r="J2" s="8" t="s">
        <v>1252</v>
      </c>
      <c r="K2" s="9">
        <v>45471.013194444437</v>
      </c>
      <c r="L2" s="9">
        <v>45471.023611111108</v>
      </c>
      <c r="M2" s="9">
        <v>45471.044444444437</v>
      </c>
      <c r="N2" s="9">
        <v>45471.379861111112</v>
      </c>
      <c r="O2" s="10">
        <f t="shared" ref="O2:O65" si="0">IF(AND(N2&lt;&gt;"",M2&lt;&gt;""),(N2-M2)*24,"")</f>
        <v>8.0500000002211891</v>
      </c>
      <c r="P2" s="8">
        <v>0</v>
      </c>
      <c r="Q2" s="8" t="s">
        <v>1253</v>
      </c>
      <c r="R2" s="6" t="s">
        <v>1254</v>
      </c>
      <c r="S2" s="7" t="s">
        <v>1255</v>
      </c>
      <c r="T2" s="8" t="s">
        <v>1256</v>
      </c>
      <c r="U2" s="11">
        <f t="shared" ref="U2:U65" si="1">IF(OR(I2="FAILURE",I2="TRIP"),1,0)</f>
        <v>1</v>
      </c>
      <c r="V2" s="8" t="s">
        <v>1257</v>
      </c>
      <c r="W2" s="8" t="s">
        <v>1258</v>
      </c>
      <c r="X2" s="8" t="s">
        <v>1259</v>
      </c>
      <c r="Y2" s="8" t="s">
        <v>1260</v>
      </c>
      <c r="Z2" s="8" t="s">
        <v>1261</v>
      </c>
      <c r="AA2" s="12" t="str">
        <f t="shared" ref="AA2:AA65" si="2">IF(V2="","",V2&amp;"-"&amp;W2&amp;"-"&amp;X2&amp;"-"&amp;Y2&amp;"-"&amp;Z2)</f>
        <v>CPL-DE-ALN-MEC-INSP</v>
      </c>
    </row>
    <row r="3" spans="1:27" ht="20" customHeight="1" x14ac:dyDescent="0.35">
      <c r="A3" s="6" t="s">
        <v>1250</v>
      </c>
      <c r="B3" s="6" t="s">
        <v>15</v>
      </c>
      <c r="C3" s="13">
        <v>45113</v>
      </c>
      <c r="D3" s="6" t="s">
        <v>17</v>
      </c>
      <c r="E3" s="6" t="s">
        <v>21</v>
      </c>
      <c r="F3" s="6" t="s">
        <v>20</v>
      </c>
      <c r="G3" s="7" t="s">
        <v>18</v>
      </c>
      <c r="H3" s="7" t="s">
        <v>1262</v>
      </c>
      <c r="I3" s="8" t="s">
        <v>1252</v>
      </c>
      <c r="J3" s="8" t="s">
        <v>1252</v>
      </c>
      <c r="K3" s="9">
        <v>45113.85</v>
      </c>
      <c r="L3" s="9">
        <v>45113.86041666667</v>
      </c>
      <c r="M3" s="9">
        <v>45113.881249999999</v>
      </c>
      <c r="N3" s="9">
        <v>45114.01666666667</v>
      </c>
      <c r="O3" s="10">
        <f t="shared" si="0"/>
        <v>3.2500000001164153</v>
      </c>
      <c r="P3" s="8">
        <v>0</v>
      </c>
      <c r="Q3" s="8" t="s">
        <v>1263</v>
      </c>
      <c r="R3" s="6" t="s">
        <v>1264</v>
      </c>
      <c r="S3" s="7" t="s">
        <v>1265</v>
      </c>
      <c r="T3" s="8" t="s">
        <v>1266</v>
      </c>
      <c r="U3" s="11">
        <f t="shared" si="1"/>
        <v>1</v>
      </c>
      <c r="V3" s="8" t="s">
        <v>1267</v>
      </c>
      <c r="W3" s="8" t="s">
        <v>1268</v>
      </c>
      <c r="X3" s="8" t="s">
        <v>1269</v>
      </c>
      <c r="Y3" s="8" t="s">
        <v>1260</v>
      </c>
      <c r="Z3" s="8" t="s">
        <v>1270</v>
      </c>
      <c r="AA3" s="12" t="str">
        <f t="shared" si="2"/>
        <v>FIL-SUC-BLK-MEC-RPL</v>
      </c>
    </row>
    <row r="4" spans="1:27" ht="20" customHeight="1" x14ac:dyDescent="0.35">
      <c r="A4" s="6" t="s">
        <v>1250</v>
      </c>
      <c r="B4" s="6" t="s">
        <v>22</v>
      </c>
      <c r="C4" s="13">
        <v>45988</v>
      </c>
      <c r="D4" s="6" t="s">
        <v>169</v>
      </c>
      <c r="E4" s="6" t="s">
        <v>14</v>
      </c>
      <c r="F4" s="6" t="s">
        <v>1404</v>
      </c>
      <c r="G4" s="7" t="s">
        <v>25</v>
      </c>
      <c r="H4" s="7" t="s">
        <v>1271</v>
      </c>
      <c r="I4" s="8" t="s">
        <v>1272</v>
      </c>
      <c r="J4" s="8" t="s">
        <v>1252</v>
      </c>
      <c r="K4" s="9">
        <v>45988.241666666669</v>
      </c>
      <c r="L4" s="9">
        <v>45988.252083333333</v>
      </c>
      <c r="M4" s="9">
        <v>45988.272916666669</v>
      </c>
      <c r="N4" s="9">
        <v>45988.324999999997</v>
      </c>
      <c r="O4" s="10">
        <f t="shared" si="0"/>
        <v>1.2499999998835847</v>
      </c>
      <c r="P4" s="8">
        <v>0</v>
      </c>
      <c r="Q4" s="8" t="s">
        <v>1263</v>
      </c>
      <c r="R4" s="6" t="s">
        <v>1273</v>
      </c>
      <c r="S4" s="7" t="s">
        <v>1274</v>
      </c>
      <c r="T4" s="8" t="s">
        <v>1266</v>
      </c>
      <c r="U4" s="11">
        <f t="shared" si="1"/>
        <v>1</v>
      </c>
      <c r="V4" s="8" t="s">
        <v>1275</v>
      </c>
      <c r="W4" s="8" t="s">
        <v>1276</v>
      </c>
      <c r="X4" s="8" t="s">
        <v>1277</v>
      </c>
      <c r="Y4" s="8" t="s">
        <v>1275</v>
      </c>
      <c r="Z4" s="8" t="s">
        <v>1278</v>
      </c>
      <c r="AA4" s="12" t="str">
        <f t="shared" si="2"/>
        <v>INS-CTRL-DRF-INS-RST</v>
      </c>
    </row>
    <row r="5" spans="1:27" ht="20" customHeight="1" x14ac:dyDescent="0.35">
      <c r="A5" s="6" t="s">
        <v>1250</v>
      </c>
      <c r="B5" s="6" t="s">
        <v>27</v>
      </c>
      <c r="C5" s="13">
        <v>45415</v>
      </c>
      <c r="D5" s="6" t="s">
        <v>29</v>
      </c>
      <c r="E5" s="6" t="s">
        <v>34</v>
      </c>
      <c r="F5" s="6" t="s">
        <v>33</v>
      </c>
      <c r="G5" s="7" t="s">
        <v>30</v>
      </c>
      <c r="H5" s="7" t="s">
        <v>1279</v>
      </c>
      <c r="I5" s="8" t="s">
        <v>1272</v>
      </c>
      <c r="J5" s="8" t="s">
        <v>1252</v>
      </c>
      <c r="K5" s="9">
        <v>45415.824305555558</v>
      </c>
      <c r="L5" s="9">
        <v>45415.834722222222</v>
      </c>
      <c r="M5" s="9">
        <v>45415.855555555558</v>
      </c>
      <c r="N5" s="9">
        <v>45415.968055555553</v>
      </c>
      <c r="O5" s="10">
        <f t="shared" si="0"/>
        <v>2.6999999998952262</v>
      </c>
      <c r="P5" s="8">
        <v>0</v>
      </c>
      <c r="Q5" s="8" t="s">
        <v>1263</v>
      </c>
      <c r="R5" s="6" t="s">
        <v>1280</v>
      </c>
      <c r="S5" s="7" t="s">
        <v>1281</v>
      </c>
      <c r="T5" s="8" t="s">
        <v>1256</v>
      </c>
      <c r="U5" s="11">
        <f t="shared" si="1"/>
        <v>1</v>
      </c>
      <c r="V5" s="8" t="s">
        <v>1282</v>
      </c>
      <c r="W5" s="8" t="s">
        <v>1276</v>
      </c>
      <c r="X5" s="8" t="s">
        <v>1269</v>
      </c>
      <c r="Y5" s="8" t="s">
        <v>1275</v>
      </c>
      <c r="Z5" s="8" t="s">
        <v>1278</v>
      </c>
      <c r="AA5" s="12" t="str">
        <f t="shared" si="2"/>
        <v>IMP-CTRL-BLK-INS-RST</v>
      </c>
    </row>
    <row r="6" spans="1:27" ht="20" customHeight="1" x14ac:dyDescent="0.35">
      <c r="A6" s="6" t="s">
        <v>1250</v>
      </c>
      <c r="B6" s="6" t="s">
        <v>35</v>
      </c>
      <c r="C6" s="13">
        <v>45558</v>
      </c>
      <c r="D6" s="6" t="s">
        <v>37</v>
      </c>
      <c r="E6" s="6" t="s">
        <v>41</v>
      </c>
      <c r="F6" s="6" t="s">
        <v>1405</v>
      </c>
      <c r="G6" s="7" t="s">
        <v>38</v>
      </c>
      <c r="H6" s="7" t="s">
        <v>1283</v>
      </c>
      <c r="I6" s="8" t="s">
        <v>1284</v>
      </c>
      <c r="J6" s="8" t="s">
        <v>1285</v>
      </c>
      <c r="K6" s="9">
        <v>45558.541666666657</v>
      </c>
      <c r="L6" s="9">
        <v>45558.541666666657</v>
      </c>
      <c r="M6" s="9">
        <v>45558.541666666657</v>
      </c>
      <c r="N6" s="9">
        <v>45558.636111111111</v>
      </c>
      <c r="O6" s="10">
        <f t="shared" si="0"/>
        <v>2.2666666668956168</v>
      </c>
      <c r="P6" s="8">
        <v>1</v>
      </c>
      <c r="Q6" s="8" t="s">
        <v>1263</v>
      </c>
      <c r="R6" s="6" t="s">
        <v>1286</v>
      </c>
      <c r="S6" s="7" t="s">
        <v>1287</v>
      </c>
      <c r="T6" s="8" t="s">
        <v>1256</v>
      </c>
      <c r="U6" s="11">
        <f t="shared" si="1"/>
        <v>0</v>
      </c>
      <c r="V6" s="8" t="s">
        <v>1288</v>
      </c>
      <c r="W6" s="8" t="s">
        <v>1276</v>
      </c>
      <c r="X6" s="8" t="s">
        <v>1289</v>
      </c>
      <c r="Y6" s="8" t="s">
        <v>1290</v>
      </c>
      <c r="Z6" s="8" t="s">
        <v>1261</v>
      </c>
      <c r="AA6" s="12" t="str">
        <f t="shared" si="2"/>
        <v>ACT-CTRL-STK-CTL-INSP</v>
      </c>
    </row>
    <row r="7" spans="1:27" ht="20" customHeight="1" x14ac:dyDescent="0.35">
      <c r="A7" s="6" t="s">
        <v>1250</v>
      </c>
      <c r="B7" s="6" t="s">
        <v>42</v>
      </c>
      <c r="C7" s="13">
        <v>45214</v>
      </c>
      <c r="D7" s="6" t="s">
        <v>44</v>
      </c>
      <c r="E7" s="6" t="s">
        <v>47</v>
      </c>
      <c r="F7" s="6" t="s">
        <v>33</v>
      </c>
      <c r="G7" s="7" t="s">
        <v>45</v>
      </c>
      <c r="H7" s="7" t="s">
        <v>1291</v>
      </c>
      <c r="I7" s="8" t="s">
        <v>1292</v>
      </c>
      <c r="J7" s="8" t="s">
        <v>1293</v>
      </c>
      <c r="K7" s="9">
        <v>45214.393055555563</v>
      </c>
      <c r="L7" s="9">
        <v>45214.40347222222</v>
      </c>
      <c r="M7" s="9">
        <v>45214.424305555563</v>
      </c>
      <c r="N7" s="9">
        <v>45214.49722222222</v>
      </c>
      <c r="O7" s="10">
        <f t="shared" si="0"/>
        <v>1.7499999997671694</v>
      </c>
      <c r="P7" s="8">
        <v>0</v>
      </c>
      <c r="Q7" s="8" t="s">
        <v>1253</v>
      </c>
      <c r="R7" s="6" t="s">
        <v>1294</v>
      </c>
      <c r="S7" s="7" t="s">
        <v>1295</v>
      </c>
      <c r="T7" s="8" t="s">
        <v>1266</v>
      </c>
      <c r="U7" s="11">
        <f t="shared" si="1"/>
        <v>0</v>
      </c>
      <c r="V7" s="8" t="s">
        <v>1296</v>
      </c>
      <c r="W7" s="8" t="s">
        <v>1296</v>
      </c>
      <c r="X7" s="8" t="s">
        <v>1296</v>
      </c>
      <c r="Y7" s="8" t="s">
        <v>1296</v>
      </c>
      <c r="Z7" s="8" t="s">
        <v>1297</v>
      </c>
      <c r="AA7" s="12" t="str">
        <f t="shared" si="2"/>
        <v>UNK-UNK-UNK-UNK-ADJ</v>
      </c>
    </row>
    <row r="8" spans="1:27" ht="20" customHeight="1" x14ac:dyDescent="0.35">
      <c r="A8" s="6" t="s">
        <v>1250</v>
      </c>
      <c r="B8" s="6" t="s">
        <v>48</v>
      </c>
      <c r="C8" s="13">
        <v>45651</v>
      </c>
      <c r="D8" s="6" t="s">
        <v>628</v>
      </c>
      <c r="E8" s="6" t="s">
        <v>47</v>
      </c>
      <c r="F8" s="6" t="s">
        <v>20</v>
      </c>
      <c r="G8" s="7" t="s">
        <v>51</v>
      </c>
      <c r="H8" s="7" t="s">
        <v>1298</v>
      </c>
      <c r="I8" s="8" t="s">
        <v>1252</v>
      </c>
      <c r="J8" s="8" t="s">
        <v>1252</v>
      </c>
      <c r="K8" s="9">
        <v>45651.896527777782</v>
      </c>
      <c r="L8" s="9">
        <v>45651.906944444447</v>
      </c>
      <c r="M8" s="9">
        <v>45651.927777777782</v>
      </c>
      <c r="N8" s="9">
        <v>45651.947222222218</v>
      </c>
      <c r="O8" s="10">
        <f t="shared" si="0"/>
        <v>0.46666666644159704</v>
      </c>
      <c r="P8" s="8">
        <v>0</v>
      </c>
      <c r="Q8" s="8" t="s">
        <v>1263</v>
      </c>
      <c r="R8" s="6" t="s">
        <v>1299</v>
      </c>
      <c r="S8" s="7" t="s">
        <v>1300</v>
      </c>
      <c r="T8" s="8" t="s">
        <v>1256</v>
      </c>
      <c r="U8" s="11">
        <f t="shared" si="1"/>
        <v>1</v>
      </c>
      <c r="V8" s="8" t="s">
        <v>1301</v>
      </c>
      <c r="W8" s="8" t="s">
        <v>1258</v>
      </c>
      <c r="X8" s="8" t="s">
        <v>1302</v>
      </c>
      <c r="Y8" s="8" t="s">
        <v>1260</v>
      </c>
      <c r="Z8" s="8" t="s">
        <v>1261</v>
      </c>
      <c r="AA8" s="12" t="str">
        <f t="shared" si="2"/>
        <v>BRG-DE-VIB-MEC-INSP</v>
      </c>
    </row>
    <row r="9" spans="1:27" ht="20" customHeight="1" x14ac:dyDescent="0.35">
      <c r="A9" s="6" t="s">
        <v>1250</v>
      </c>
      <c r="B9" s="6" t="s">
        <v>54</v>
      </c>
      <c r="C9" s="13">
        <v>45447</v>
      </c>
      <c r="D9" s="6" t="s">
        <v>1303</v>
      </c>
      <c r="E9" s="6" t="s">
        <v>60</v>
      </c>
      <c r="F9" s="6" t="s">
        <v>1406</v>
      </c>
      <c r="G9" s="7" t="s">
        <v>57</v>
      </c>
      <c r="H9" s="7" t="s">
        <v>1304</v>
      </c>
      <c r="I9" s="8" t="s">
        <v>1272</v>
      </c>
      <c r="J9" s="8" t="s">
        <v>1252</v>
      </c>
      <c r="K9" s="9">
        <v>45447.10833333333</v>
      </c>
      <c r="L9" s="9">
        <v>45447.118750000001</v>
      </c>
      <c r="M9" s="9">
        <v>45447.13958333333</v>
      </c>
      <c r="N9" s="9">
        <v>45447.313888888893</v>
      </c>
      <c r="O9" s="10">
        <f t="shared" si="0"/>
        <v>4.1833333335234784</v>
      </c>
      <c r="P9" s="8">
        <v>0</v>
      </c>
      <c r="Q9" s="8" t="s">
        <v>1263</v>
      </c>
      <c r="R9" s="6" t="s">
        <v>1273</v>
      </c>
      <c r="S9" s="7" t="s">
        <v>1274</v>
      </c>
      <c r="T9" s="8" t="s">
        <v>1256</v>
      </c>
      <c r="U9" s="11">
        <f t="shared" si="1"/>
        <v>1</v>
      </c>
      <c r="V9" s="8" t="s">
        <v>1305</v>
      </c>
      <c r="W9" s="8" t="s">
        <v>1276</v>
      </c>
      <c r="X9" s="8" t="s">
        <v>1306</v>
      </c>
      <c r="Y9" s="8" t="s">
        <v>1290</v>
      </c>
      <c r="Z9" s="8" t="s">
        <v>1278</v>
      </c>
      <c r="AA9" s="12" t="str">
        <f t="shared" si="2"/>
        <v>SYS-CTRL-TRP-CTL-RST</v>
      </c>
    </row>
    <row r="10" spans="1:27" ht="20" customHeight="1" x14ac:dyDescent="0.35">
      <c r="A10" s="6" t="s">
        <v>1250</v>
      </c>
      <c r="B10" s="6" t="s">
        <v>61</v>
      </c>
      <c r="C10" s="13">
        <v>45880</v>
      </c>
      <c r="D10" s="6" t="s">
        <v>63</v>
      </c>
      <c r="E10" s="6" t="s">
        <v>21</v>
      </c>
      <c r="F10" s="6" t="s">
        <v>20</v>
      </c>
      <c r="G10" s="7" t="s">
        <v>64</v>
      </c>
      <c r="H10" s="7" t="s">
        <v>1307</v>
      </c>
      <c r="I10" s="8" t="s">
        <v>1292</v>
      </c>
      <c r="J10" s="8" t="s">
        <v>1293</v>
      </c>
      <c r="K10" s="9">
        <v>45880.082638888889</v>
      </c>
      <c r="L10" s="9">
        <v>45880.093055555553</v>
      </c>
      <c r="M10" s="9">
        <v>45880.113888888889</v>
      </c>
      <c r="N10" s="9">
        <v>45880.239583333343</v>
      </c>
      <c r="O10" s="10">
        <f t="shared" si="0"/>
        <v>3.0166666668956168</v>
      </c>
      <c r="P10" s="8">
        <v>0</v>
      </c>
      <c r="Q10" s="8" t="s">
        <v>1263</v>
      </c>
      <c r="R10" s="6" t="s">
        <v>1294</v>
      </c>
      <c r="S10" s="7" t="s">
        <v>1295</v>
      </c>
      <c r="T10" s="8" t="s">
        <v>1256</v>
      </c>
      <c r="U10" s="11">
        <f t="shared" si="1"/>
        <v>0</v>
      </c>
      <c r="V10" s="8" t="s">
        <v>1296</v>
      </c>
      <c r="W10" s="8" t="s">
        <v>1296</v>
      </c>
      <c r="X10" s="8" t="s">
        <v>1296</v>
      </c>
      <c r="Y10" s="8" t="s">
        <v>1296</v>
      </c>
      <c r="Z10" s="8" t="s">
        <v>1261</v>
      </c>
      <c r="AA10" s="12" t="str">
        <f t="shared" si="2"/>
        <v>UNK-UNK-UNK-UNK-INSP</v>
      </c>
    </row>
    <row r="11" spans="1:27" ht="20" customHeight="1" x14ac:dyDescent="0.35">
      <c r="A11" s="6" t="s">
        <v>1250</v>
      </c>
      <c r="B11" s="6" t="s">
        <v>67</v>
      </c>
      <c r="C11" s="13">
        <v>45204</v>
      </c>
      <c r="D11" s="6" t="s">
        <v>69</v>
      </c>
      <c r="E11" s="6" t="s">
        <v>47</v>
      </c>
      <c r="F11" s="6" t="s">
        <v>1408</v>
      </c>
      <c r="G11" s="7" t="s">
        <v>70</v>
      </c>
      <c r="H11" s="7" t="s">
        <v>1308</v>
      </c>
      <c r="I11" s="8" t="s">
        <v>1252</v>
      </c>
      <c r="J11" s="8" t="s">
        <v>1252</v>
      </c>
      <c r="K11" s="9">
        <v>45204.342361111107</v>
      </c>
      <c r="L11" s="9">
        <v>45204.352777777778</v>
      </c>
      <c r="M11" s="9">
        <v>45204.373611111107</v>
      </c>
      <c r="N11" s="9">
        <v>45204.696527777778</v>
      </c>
      <c r="O11" s="10">
        <f t="shared" si="0"/>
        <v>7.7500000001164153</v>
      </c>
      <c r="P11" s="8">
        <v>0</v>
      </c>
      <c r="Q11" s="8" t="s">
        <v>1253</v>
      </c>
      <c r="R11" s="6" t="s">
        <v>1299</v>
      </c>
      <c r="S11" s="7" t="s">
        <v>1300</v>
      </c>
      <c r="T11" s="8" t="s">
        <v>1256</v>
      </c>
      <c r="U11" s="11">
        <f t="shared" si="1"/>
        <v>1</v>
      </c>
      <c r="V11" s="8" t="s">
        <v>1301</v>
      </c>
      <c r="W11" s="8" t="s">
        <v>1258</v>
      </c>
      <c r="X11" s="8" t="s">
        <v>1302</v>
      </c>
      <c r="Y11" s="8" t="s">
        <v>1260</v>
      </c>
      <c r="Z11" s="8" t="s">
        <v>1270</v>
      </c>
      <c r="AA11" s="12" t="str">
        <f t="shared" si="2"/>
        <v>BRG-DE-VIB-MEC-RPL</v>
      </c>
    </row>
    <row r="12" spans="1:27" ht="20" customHeight="1" x14ac:dyDescent="0.35">
      <c r="A12" s="6" t="s">
        <v>1250</v>
      </c>
      <c r="B12" s="6" t="s">
        <v>73</v>
      </c>
      <c r="C12" s="13">
        <v>45779</v>
      </c>
      <c r="D12" s="6" t="s">
        <v>1309</v>
      </c>
      <c r="E12" s="6" t="s">
        <v>47</v>
      </c>
      <c r="F12" s="6" t="s">
        <v>1408</v>
      </c>
      <c r="G12" s="7" t="s">
        <v>76</v>
      </c>
      <c r="H12" s="7" t="s">
        <v>1310</v>
      </c>
      <c r="I12" s="8" t="s">
        <v>1272</v>
      </c>
      <c r="J12" s="8" t="s">
        <v>1252</v>
      </c>
      <c r="K12" s="9">
        <v>45779.095138888893</v>
      </c>
      <c r="L12" s="9">
        <v>45779.105555555558</v>
      </c>
      <c r="M12" s="9">
        <v>45779.126388888893</v>
      </c>
      <c r="N12" s="9">
        <v>45779.234027777777</v>
      </c>
      <c r="O12" s="10">
        <f t="shared" si="0"/>
        <v>2.5833333331975155</v>
      </c>
      <c r="P12" s="8">
        <v>0</v>
      </c>
      <c r="Q12" s="8" t="s">
        <v>1263</v>
      </c>
      <c r="R12" s="6" t="s">
        <v>1273</v>
      </c>
      <c r="S12" s="7" t="s">
        <v>1274</v>
      </c>
      <c r="T12" s="8" t="s">
        <v>1256</v>
      </c>
      <c r="U12" s="11">
        <f t="shared" si="1"/>
        <v>1</v>
      </c>
      <c r="V12" s="8" t="s">
        <v>1305</v>
      </c>
      <c r="W12" s="8" t="s">
        <v>1276</v>
      </c>
      <c r="X12" s="8" t="s">
        <v>1306</v>
      </c>
      <c r="Y12" s="8" t="s">
        <v>1290</v>
      </c>
      <c r="Z12" s="8" t="s">
        <v>1278</v>
      </c>
      <c r="AA12" s="12" t="str">
        <f t="shared" si="2"/>
        <v>SYS-CTRL-TRP-CTL-RST</v>
      </c>
    </row>
    <row r="13" spans="1:27" ht="20" customHeight="1" x14ac:dyDescent="0.35">
      <c r="A13" s="6" t="s">
        <v>1250</v>
      </c>
      <c r="B13" s="6" t="s">
        <v>79</v>
      </c>
      <c r="C13" s="13">
        <v>45662</v>
      </c>
      <c r="D13" s="6" t="s">
        <v>1169</v>
      </c>
      <c r="E13" s="6" t="s">
        <v>34</v>
      </c>
      <c r="F13" s="6" t="s">
        <v>1407</v>
      </c>
      <c r="G13" s="7" t="s">
        <v>82</v>
      </c>
      <c r="H13" s="7" t="s">
        <v>1311</v>
      </c>
      <c r="I13" s="8" t="s">
        <v>1292</v>
      </c>
      <c r="J13" s="8" t="s">
        <v>1293</v>
      </c>
      <c r="K13" s="9">
        <v>45662.243055555547</v>
      </c>
      <c r="L13" s="9">
        <v>45662.253472222219</v>
      </c>
      <c r="M13" s="9">
        <v>45662.274305555547</v>
      </c>
      <c r="N13" s="9">
        <v>45662.30972222222</v>
      </c>
      <c r="O13" s="10">
        <f t="shared" si="0"/>
        <v>0.85000000015133992</v>
      </c>
      <c r="P13" s="8">
        <v>0</v>
      </c>
      <c r="Q13" s="8" t="s">
        <v>1263</v>
      </c>
      <c r="R13" s="6" t="s">
        <v>1294</v>
      </c>
      <c r="S13" s="7" t="s">
        <v>1295</v>
      </c>
      <c r="T13" s="8" t="s">
        <v>1256</v>
      </c>
      <c r="U13" s="11">
        <f t="shared" si="1"/>
        <v>0</v>
      </c>
      <c r="V13" s="8" t="s">
        <v>1275</v>
      </c>
      <c r="W13" s="8" t="s">
        <v>1276</v>
      </c>
      <c r="X13" s="8" t="s">
        <v>1277</v>
      </c>
      <c r="Y13" s="8" t="s">
        <v>1275</v>
      </c>
      <c r="Z13" s="8" t="s">
        <v>1312</v>
      </c>
      <c r="AA13" s="12" t="str">
        <f t="shared" si="2"/>
        <v>INS-CTRL-DRF-INS-REP</v>
      </c>
    </row>
    <row r="14" spans="1:27" ht="20" customHeight="1" x14ac:dyDescent="0.35">
      <c r="A14" s="6" t="s">
        <v>1250</v>
      </c>
      <c r="B14" s="6" t="s">
        <v>85</v>
      </c>
      <c r="C14" s="13">
        <v>44950</v>
      </c>
      <c r="D14" s="6" t="s">
        <v>87</v>
      </c>
      <c r="E14" s="6" t="s">
        <v>60</v>
      </c>
      <c r="F14" s="6" t="s">
        <v>20</v>
      </c>
      <c r="G14" s="7" t="s">
        <v>88</v>
      </c>
      <c r="H14" s="7" t="s">
        <v>1313</v>
      </c>
      <c r="I14" s="8" t="s">
        <v>1272</v>
      </c>
      <c r="J14" s="8" t="s">
        <v>1252</v>
      </c>
      <c r="K14" s="9">
        <v>44950.809027777781</v>
      </c>
      <c r="L14" s="9">
        <v>44950.819444444453</v>
      </c>
      <c r="M14" s="9">
        <v>44950.840277777781</v>
      </c>
      <c r="N14" s="9">
        <v>44951.197222222218</v>
      </c>
      <c r="O14" s="10">
        <f t="shared" si="0"/>
        <v>8.5666666664765216</v>
      </c>
      <c r="P14" s="8">
        <v>0</v>
      </c>
      <c r="Q14" s="8" t="s">
        <v>1253</v>
      </c>
      <c r="R14" s="6" t="s">
        <v>1273</v>
      </c>
      <c r="S14" s="7" t="s">
        <v>1274</v>
      </c>
      <c r="T14" s="8" t="s">
        <v>1256</v>
      </c>
      <c r="U14" s="11">
        <f t="shared" si="1"/>
        <v>1</v>
      </c>
      <c r="V14" s="8" t="s">
        <v>1305</v>
      </c>
      <c r="W14" s="8" t="s">
        <v>1276</v>
      </c>
      <c r="X14" s="8" t="s">
        <v>1306</v>
      </c>
      <c r="Y14" s="8" t="s">
        <v>1290</v>
      </c>
      <c r="Z14" s="8" t="s">
        <v>1278</v>
      </c>
      <c r="AA14" s="12" t="str">
        <f t="shared" si="2"/>
        <v>SYS-CTRL-TRP-CTL-RST</v>
      </c>
    </row>
    <row r="15" spans="1:27" ht="20" customHeight="1" x14ac:dyDescent="0.35">
      <c r="A15" s="6" t="s">
        <v>1250</v>
      </c>
      <c r="B15" s="6" t="s">
        <v>91</v>
      </c>
      <c r="C15" s="13">
        <v>45716</v>
      </c>
      <c r="D15" s="6" t="s">
        <v>44</v>
      </c>
      <c r="E15" s="6" t="s">
        <v>47</v>
      </c>
      <c r="F15" s="6" t="s">
        <v>1408</v>
      </c>
      <c r="G15" s="7" t="s">
        <v>94</v>
      </c>
      <c r="H15" s="7" t="s">
        <v>1283</v>
      </c>
      <c r="I15" s="8" t="s">
        <v>1284</v>
      </c>
      <c r="J15" s="8" t="s">
        <v>1285</v>
      </c>
      <c r="K15" s="9">
        <v>45716.583333333343</v>
      </c>
      <c r="L15" s="9">
        <v>45716.583333333343</v>
      </c>
      <c r="M15" s="9">
        <v>45716.583333333343</v>
      </c>
      <c r="N15" s="9">
        <v>45716.65902777778</v>
      </c>
      <c r="O15" s="10">
        <f t="shared" si="0"/>
        <v>1.8166666664765216</v>
      </c>
      <c r="P15" s="8">
        <v>1</v>
      </c>
      <c r="Q15" s="8" t="s">
        <v>1263</v>
      </c>
      <c r="R15" s="6" t="s">
        <v>1286</v>
      </c>
      <c r="S15" s="7" t="s">
        <v>1287</v>
      </c>
      <c r="T15" s="8" t="s">
        <v>1256</v>
      </c>
      <c r="U15" s="11">
        <f t="shared" si="1"/>
        <v>0</v>
      </c>
      <c r="V15" s="8" t="s">
        <v>1301</v>
      </c>
      <c r="W15" s="8" t="s">
        <v>1258</v>
      </c>
      <c r="X15" s="8" t="s">
        <v>1302</v>
      </c>
      <c r="Y15" s="8" t="s">
        <v>1260</v>
      </c>
      <c r="Z15" s="8" t="s">
        <v>1284</v>
      </c>
      <c r="AA15" s="12" t="str">
        <f t="shared" si="2"/>
        <v>BRG-DE-VIB-MEC-PM</v>
      </c>
    </row>
    <row r="16" spans="1:27" ht="20" customHeight="1" x14ac:dyDescent="0.35">
      <c r="A16" s="6" t="s">
        <v>1250</v>
      </c>
      <c r="B16" s="6" t="s">
        <v>97</v>
      </c>
      <c r="C16" s="13">
        <v>45422</v>
      </c>
      <c r="D16" s="6" t="s">
        <v>697</v>
      </c>
      <c r="E16" s="6" t="s">
        <v>41</v>
      </c>
      <c r="F16" s="6" t="s">
        <v>1404</v>
      </c>
      <c r="G16" s="7" t="s">
        <v>100</v>
      </c>
      <c r="H16" s="7" t="s">
        <v>1314</v>
      </c>
      <c r="I16" s="8" t="s">
        <v>1252</v>
      </c>
      <c r="J16" s="8" t="s">
        <v>1252</v>
      </c>
      <c r="K16" s="9">
        <v>45422.82916666667</v>
      </c>
      <c r="L16" s="9">
        <v>45422.839583333327</v>
      </c>
      <c r="M16" s="9">
        <v>45422.86041666667</v>
      </c>
      <c r="N16" s="9">
        <v>45423.027777777781</v>
      </c>
      <c r="O16" s="10">
        <f t="shared" si="0"/>
        <v>4.0166666666627862</v>
      </c>
      <c r="P16" s="8">
        <v>0</v>
      </c>
      <c r="Q16" s="8" t="s">
        <v>1263</v>
      </c>
      <c r="R16" s="6" t="s">
        <v>1315</v>
      </c>
      <c r="S16" s="7" t="s">
        <v>1316</v>
      </c>
      <c r="T16" s="8" t="s">
        <v>1256</v>
      </c>
      <c r="U16" s="11">
        <f t="shared" si="1"/>
        <v>1</v>
      </c>
      <c r="V16" s="8" t="s">
        <v>1282</v>
      </c>
      <c r="W16" s="8" t="s">
        <v>1268</v>
      </c>
      <c r="X16" s="8" t="s">
        <v>1317</v>
      </c>
      <c r="Y16" s="8" t="s">
        <v>1318</v>
      </c>
      <c r="Z16" s="8" t="s">
        <v>1261</v>
      </c>
      <c r="AA16" s="12" t="str">
        <f t="shared" si="2"/>
        <v>IMP-SUC-CAV-HYD-INSP</v>
      </c>
    </row>
    <row r="17" spans="1:27" ht="20" customHeight="1" x14ac:dyDescent="0.35">
      <c r="A17" s="6" t="s">
        <v>1250</v>
      </c>
      <c r="B17" s="6" t="s">
        <v>103</v>
      </c>
      <c r="C17" s="13">
        <v>45445</v>
      </c>
      <c r="D17" s="6" t="s">
        <v>697</v>
      </c>
      <c r="E17" s="6" t="s">
        <v>41</v>
      </c>
      <c r="F17" s="6" t="s">
        <v>33</v>
      </c>
      <c r="G17" s="7" t="s">
        <v>100</v>
      </c>
      <c r="H17" s="7" t="s">
        <v>1314</v>
      </c>
      <c r="I17" s="8" t="s">
        <v>1252</v>
      </c>
      <c r="J17" s="8" t="s">
        <v>1252</v>
      </c>
      <c r="K17" s="9">
        <v>45445.438194444447</v>
      </c>
      <c r="L17" s="9">
        <v>45445.448611111111</v>
      </c>
      <c r="M17" s="9">
        <v>45445.469444444447</v>
      </c>
      <c r="N17" s="9">
        <v>45445.750694444447</v>
      </c>
      <c r="O17" s="10">
        <f t="shared" si="0"/>
        <v>6.75</v>
      </c>
      <c r="P17" s="8">
        <v>0</v>
      </c>
      <c r="Q17" s="8" t="s">
        <v>1263</v>
      </c>
      <c r="R17" s="6" t="s">
        <v>1315</v>
      </c>
      <c r="S17" s="7" t="s">
        <v>1316</v>
      </c>
      <c r="T17" s="8" t="s">
        <v>1256</v>
      </c>
      <c r="U17" s="11">
        <f t="shared" si="1"/>
        <v>1</v>
      </c>
      <c r="V17" s="8" t="s">
        <v>1282</v>
      </c>
      <c r="W17" s="8" t="s">
        <v>1268</v>
      </c>
      <c r="X17" s="8" t="s">
        <v>1317</v>
      </c>
      <c r="Y17" s="8" t="s">
        <v>1318</v>
      </c>
      <c r="Z17" s="8" t="s">
        <v>1261</v>
      </c>
      <c r="AA17" s="12" t="str">
        <f t="shared" si="2"/>
        <v>IMP-SUC-CAV-HYD-INSP</v>
      </c>
    </row>
    <row r="18" spans="1:27" ht="20" customHeight="1" x14ac:dyDescent="0.35">
      <c r="A18" s="6" t="s">
        <v>1250</v>
      </c>
      <c r="B18" s="6" t="s">
        <v>108</v>
      </c>
      <c r="C18" s="13">
        <v>44957</v>
      </c>
      <c r="D18" s="6" t="s">
        <v>110</v>
      </c>
      <c r="E18" s="6" t="s">
        <v>47</v>
      </c>
      <c r="F18" s="6" t="s">
        <v>20</v>
      </c>
      <c r="G18" s="7" t="s">
        <v>111</v>
      </c>
      <c r="H18" s="7" t="s">
        <v>1319</v>
      </c>
      <c r="I18" s="8" t="s">
        <v>1252</v>
      </c>
      <c r="J18" s="8" t="s">
        <v>1252</v>
      </c>
      <c r="K18" s="9">
        <v>44957.915972222218</v>
      </c>
      <c r="L18" s="9">
        <v>44957.926388888889</v>
      </c>
      <c r="M18" s="9">
        <v>44957.947222222218</v>
      </c>
      <c r="N18" s="9">
        <v>44958.040972222218</v>
      </c>
      <c r="O18" s="10">
        <f t="shared" si="0"/>
        <v>2.25</v>
      </c>
      <c r="P18" s="8">
        <v>0</v>
      </c>
      <c r="Q18" s="8" t="s">
        <v>1263</v>
      </c>
      <c r="R18" s="6" t="s">
        <v>1320</v>
      </c>
      <c r="S18" s="7" t="s">
        <v>1321</v>
      </c>
      <c r="T18" s="8" t="s">
        <v>1266</v>
      </c>
      <c r="U18" s="11">
        <f t="shared" si="1"/>
        <v>1</v>
      </c>
      <c r="V18" s="8" t="s">
        <v>1322</v>
      </c>
      <c r="W18" s="8" t="s">
        <v>1258</v>
      </c>
      <c r="X18" s="8" t="s">
        <v>1323</v>
      </c>
      <c r="Y18" s="8" t="s">
        <v>1260</v>
      </c>
      <c r="Z18" s="8" t="s">
        <v>1261</v>
      </c>
      <c r="AA18" s="12" t="str">
        <f t="shared" si="2"/>
        <v>SEA-DE-LEK-MEC-INSP</v>
      </c>
    </row>
    <row r="19" spans="1:27" ht="20" customHeight="1" x14ac:dyDescent="0.35">
      <c r="A19" s="6" t="s">
        <v>1250</v>
      </c>
      <c r="B19" s="6" t="s">
        <v>113</v>
      </c>
      <c r="C19" s="13">
        <v>45536</v>
      </c>
      <c r="D19" s="6" t="s">
        <v>761</v>
      </c>
      <c r="E19" s="6" t="s">
        <v>47</v>
      </c>
      <c r="F19" s="6" t="s">
        <v>20</v>
      </c>
      <c r="G19" s="7" t="s">
        <v>116</v>
      </c>
      <c r="H19" s="7" t="s">
        <v>1324</v>
      </c>
      <c r="I19" s="8" t="s">
        <v>1292</v>
      </c>
      <c r="J19" s="8" t="s">
        <v>1293</v>
      </c>
      <c r="K19" s="9">
        <v>45536.713194444441</v>
      </c>
      <c r="L19" s="9">
        <v>45536.723611111112</v>
      </c>
      <c r="M19" s="9">
        <v>45536.744444444441</v>
      </c>
      <c r="N19" s="9">
        <v>45536.84652777778</v>
      </c>
      <c r="O19" s="10">
        <f t="shared" si="0"/>
        <v>2.4500000001280569</v>
      </c>
      <c r="P19" s="8">
        <v>0</v>
      </c>
      <c r="Q19" s="8" t="s">
        <v>1263</v>
      </c>
      <c r="R19" s="6" t="s">
        <v>1294</v>
      </c>
      <c r="S19" s="7" t="s">
        <v>1295</v>
      </c>
      <c r="T19" s="8" t="s">
        <v>1256</v>
      </c>
      <c r="U19" s="11">
        <f t="shared" si="1"/>
        <v>0</v>
      </c>
      <c r="V19" s="8" t="s">
        <v>1296</v>
      </c>
      <c r="W19" s="8" t="s">
        <v>1296</v>
      </c>
      <c r="X19" s="8" t="s">
        <v>1296</v>
      </c>
      <c r="Y19" s="8" t="s">
        <v>1296</v>
      </c>
      <c r="Z19" s="8" t="s">
        <v>1312</v>
      </c>
      <c r="AA19" s="12" t="str">
        <f t="shared" si="2"/>
        <v>UNK-UNK-UNK-UNK-REP</v>
      </c>
    </row>
    <row r="20" spans="1:27" ht="20" customHeight="1" x14ac:dyDescent="0.35">
      <c r="A20" s="6" t="s">
        <v>1250</v>
      </c>
      <c r="B20" s="6" t="s">
        <v>119</v>
      </c>
      <c r="C20" s="13">
        <v>45240</v>
      </c>
      <c r="D20" s="6" t="s">
        <v>697</v>
      </c>
      <c r="E20" s="6" t="s">
        <v>41</v>
      </c>
      <c r="F20" s="6" t="s">
        <v>1406</v>
      </c>
      <c r="G20" s="7" t="s">
        <v>121</v>
      </c>
      <c r="H20" s="7" t="s">
        <v>1325</v>
      </c>
      <c r="I20" s="8" t="s">
        <v>1292</v>
      </c>
      <c r="J20" s="8" t="s">
        <v>1293</v>
      </c>
      <c r="K20" s="9">
        <v>45240.5</v>
      </c>
      <c r="L20" s="9">
        <v>45240.510416666657</v>
      </c>
      <c r="M20" s="9">
        <v>45240.53125</v>
      </c>
      <c r="N20" s="9">
        <v>45240.538194444453</v>
      </c>
      <c r="O20" s="10">
        <f t="shared" si="0"/>
        <v>0.1666666668606922</v>
      </c>
      <c r="P20" s="8">
        <v>0</v>
      </c>
      <c r="Q20" s="8" t="s">
        <v>1263</v>
      </c>
      <c r="R20" s="6" t="s">
        <v>1294</v>
      </c>
      <c r="S20" s="7" t="s">
        <v>1295</v>
      </c>
      <c r="T20" s="8" t="s">
        <v>1256</v>
      </c>
      <c r="U20" s="11">
        <f t="shared" si="1"/>
        <v>0</v>
      </c>
      <c r="V20" s="8" t="s">
        <v>1296</v>
      </c>
      <c r="W20" s="8" t="s">
        <v>1296</v>
      </c>
      <c r="X20" s="8" t="s">
        <v>1296</v>
      </c>
      <c r="Y20" s="8" t="s">
        <v>1296</v>
      </c>
      <c r="Z20" s="8" t="s">
        <v>1261</v>
      </c>
      <c r="AA20" s="12" t="str">
        <f t="shared" si="2"/>
        <v>UNK-UNK-UNK-UNK-INSP</v>
      </c>
    </row>
    <row r="21" spans="1:27" ht="20" customHeight="1" x14ac:dyDescent="0.35">
      <c r="A21" s="6" t="s">
        <v>1250</v>
      </c>
      <c r="B21" s="6" t="s">
        <v>124</v>
      </c>
      <c r="C21" s="13">
        <v>45961</v>
      </c>
      <c r="D21" s="6" t="s">
        <v>913</v>
      </c>
      <c r="E21" s="6" t="s">
        <v>47</v>
      </c>
      <c r="F21" s="6" t="s">
        <v>1408</v>
      </c>
      <c r="G21" s="7" t="s">
        <v>127</v>
      </c>
      <c r="H21" s="7" t="s">
        <v>1283</v>
      </c>
      <c r="I21" s="8" t="s">
        <v>1284</v>
      </c>
      <c r="J21" s="8" t="s">
        <v>1285</v>
      </c>
      <c r="K21" s="9">
        <v>45961.375</v>
      </c>
      <c r="L21" s="9">
        <v>45961.375</v>
      </c>
      <c r="M21" s="9">
        <v>45961.375</v>
      </c>
      <c r="N21" s="9">
        <v>45961.4375</v>
      </c>
      <c r="O21" s="10">
        <f t="shared" si="0"/>
        <v>1.5</v>
      </c>
      <c r="P21" s="8">
        <v>1</v>
      </c>
      <c r="Q21" s="8" t="s">
        <v>1263</v>
      </c>
      <c r="R21" s="6" t="s">
        <v>1286</v>
      </c>
      <c r="S21" s="7" t="s">
        <v>1287</v>
      </c>
      <c r="T21" s="8" t="s">
        <v>1266</v>
      </c>
      <c r="U21" s="11">
        <f t="shared" si="1"/>
        <v>0</v>
      </c>
      <c r="V21" s="8" t="s">
        <v>1322</v>
      </c>
      <c r="W21" s="8" t="s">
        <v>1258</v>
      </c>
      <c r="X21" s="8" t="s">
        <v>1323</v>
      </c>
      <c r="Y21" s="8" t="s">
        <v>1260</v>
      </c>
      <c r="Z21" s="8" t="s">
        <v>1326</v>
      </c>
      <c r="AA21" s="12" t="str">
        <f t="shared" si="2"/>
        <v>SEA-DE-LEK-MEC-CLN</v>
      </c>
    </row>
    <row r="22" spans="1:27" ht="20" customHeight="1" x14ac:dyDescent="0.35">
      <c r="A22" s="6" t="s">
        <v>1250</v>
      </c>
      <c r="B22" s="6" t="s">
        <v>129</v>
      </c>
      <c r="C22" s="13">
        <v>45464</v>
      </c>
      <c r="D22" s="6" t="s">
        <v>131</v>
      </c>
      <c r="E22" s="6" t="s">
        <v>34</v>
      </c>
      <c r="F22" s="6" t="s">
        <v>1406</v>
      </c>
      <c r="G22" s="7" t="s">
        <v>132</v>
      </c>
      <c r="H22" s="7" t="s">
        <v>1327</v>
      </c>
      <c r="I22" s="8" t="s">
        <v>1292</v>
      </c>
      <c r="J22" s="8" t="s">
        <v>1293</v>
      </c>
      <c r="K22" s="9">
        <v>45464.291666666657</v>
      </c>
      <c r="L22" s="9">
        <v>45464.302083333343</v>
      </c>
      <c r="M22" s="9">
        <v>45464.322916666657</v>
      </c>
      <c r="N22" s="9">
        <v>45464.366666666669</v>
      </c>
      <c r="O22" s="10">
        <f t="shared" si="0"/>
        <v>1.0500000002793968</v>
      </c>
      <c r="P22" s="8">
        <v>0</v>
      </c>
      <c r="Q22" s="8" t="s">
        <v>1263</v>
      </c>
      <c r="R22" s="6" t="s">
        <v>1294</v>
      </c>
      <c r="S22" s="7" t="s">
        <v>1295</v>
      </c>
      <c r="T22" s="8" t="s">
        <v>1256</v>
      </c>
      <c r="U22" s="11">
        <f t="shared" si="1"/>
        <v>0</v>
      </c>
      <c r="V22" s="8" t="s">
        <v>1296</v>
      </c>
      <c r="W22" s="8" t="s">
        <v>1296</v>
      </c>
      <c r="X22" s="8" t="s">
        <v>1296</v>
      </c>
      <c r="Y22" s="8" t="s">
        <v>1296</v>
      </c>
      <c r="Z22" s="8" t="s">
        <v>1312</v>
      </c>
      <c r="AA22" s="12" t="str">
        <f t="shared" si="2"/>
        <v>UNK-UNK-UNK-UNK-REP</v>
      </c>
    </row>
    <row r="23" spans="1:27" ht="20" customHeight="1" x14ac:dyDescent="0.35">
      <c r="A23" s="6" t="s">
        <v>1250</v>
      </c>
      <c r="B23" s="6" t="s">
        <v>135</v>
      </c>
      <c r="C23" s="13">
        <v>45967</v>
      </c>
      <c r="D23" s="6" t="s">
        <v>1328</v>
      </c>
      <c r="E23" s="6" t="s">
        <v>60</v>
      </c>
      <c r="F23" s="6" t="s">
        <v>1404</v>
      </c>
      <c r="G23" s="7" t="s">
        <v>116</v>
      </c>
      <c r="H23" s="7" t="s">
        <v>1324</v>
      </c>
      <c r="I23" s="8" t="s">
        <v>1292</v>
      </c>
      <c r="J23" s="8" t="s">
        <v>1293</v>
      </c>
      <c r="K23" s="9">
        <v>45967.544444444437</v>
      </c>
      <c r="L23" s="9">
        <v>45967.554861111108</v>
      </c>
      <c r="M23" s="9">
        <v>45967.575694444437</v>
      </c>
      <c r="N23" s="9">
        <v>45968.147222222222</v>
      </c>
      <c r="O23" s="10">
        <f t="shared" si="0"/>
        <v>13.716666666849051</v>
      </c>
      <c r="P23" s="8">
        <v>0</v>
      </c>
      <c r="Q23" s="8" t="s">
        <v>1263</v>
      </c>
      <c r="R23" s="6" t="s">
        <v>1294</v>
      </c>
      <c r="S23" s="7" t="s">
        <v>1295</v>
      </c>
      <c r="T23" s="8" t="s">
        <v>1256</v>
      </c>
      <c r="U23" s="11">
        <f t="shared" si="1"/>
        <v>0</v>
      </c>
      <c r="V23" s="8" t="s">
        <v>1296</v>
      </c>
      <c r="W23" s="8" t="s">
        <v>1296</v>
      </c>
      <c r="X23" s="8" t="s">
        <v>1296</v>
      </c>
      <c r="Y23" s="8" t="s">
        <v>1296</v>
      </c>
      <c r="Z23" s="8" t="s">
        <v>1312</v>
      </c>
      <c r="AA23" s="12" t="str">
        <f t="shared" si="2"/>
        <v>UNK-UNK-UNK-UNK-REP</v>
      </c>
    </row>
    <row r="24" spans="1:27" ht="20" customHeight="1" x14ac:dyDescent="0.35">
      <c r="A24" s="6" t="s">
        <v>1250</v>
      </c>
      <c r="B24" s="6" t="s">
        <v>140</v>
      </c>
      <c r="C24" s="13">
        <v>45167</v>
      </c>
      <c r="D24" s="6" t="s">
        <v>142</v>
      </c>
      <c r="E24" s="6" t="s">
        <v>60</v>
      </c>
      <c r="F24" s="6" t="s">
        <v>144</v>
      </c>
      <c r="G24" s="7" t="s">
        <v>45</v>
      </c>
      <c r="H24" s="7" t="s">
        <v>1291</v>
      </c>
      <c r="I24" s="8" t="s">
        <v>1292</v>
      </c>
      <c r="J24" s="8" t="s">
        <v>1293</v>
      </c>
      <c r="K24" s="9">
        <v>45167.484722222223</v>
      </c>
      <c r="L24" s="9">
        <v>45167.495138888888</v>
      </c>
      <c r="M24" s="9">
        <v>45167.515972222223</v>
      </c>
      <c r="N24" s="9">
        <v>45167.588888888888</v>
      </c>
      <c r="O24" s="10">
        <f t="shared" si="0"/>
        <v>1.7499999999417923</v>
      </c>
      <c r="P24" s="8">
        <v>0</v>
      </c>
      <c r="Q24" s="8" t="s">
        <v>1263</v>
      </c>
      <c r="R24" s="6" t="s">
        <v>1294</v>
      </c>
      <c r="S24" s="7" t="s">
        <v>1295</v>
      </c>
      <c r="T24" s="8" t="s">
        <v>1266</v>
      </c>
      <c r="U24" s="11">
        <f t="shared" si="1"/>
        <v>0</v>
      </c>
      <c r="V24" s="8" t="s">
        <v>1275</v>
      </c>
      <c r="W24" s="8" t="s">
        <v>1276</v>
      </c>
      <c r="X24" s="8" t="s">
        <v>1277</v>
      </c>
      <c r="Y24" s="8" t="s">
        <v>1275</v>
      </c>
      <c r="Z24" s="8" t="s">
        <v>1297</v>
      </c>
      <c r="AA24" s="12" t="str">
        <f t="shared" si="2"/>
        <v>INS-CTRL-DRF-INS-ADJ</v>
      </c>
    </row>
    <row r="25" spans="1:27" ht="20" customHeight="1" x14ac:dyDescent="0.35">
      <c r="A25" s="6" t="s">
        <v>1250</v>
      </c>
      <c r="B25" s="6" t="s">
        <v>145</v>
      </c>
      <c r="C25" s="13">
        <v>45959</v>
      </c>
      <c r="D25" s="6" t="s">
        <v>147</v>
      </c>
      <c r="E25" s="6" t="s">
        <v>21</v>
      </c>
      <c r="F25" s="6" t="s">
        <v>1407</v>
      </c>
      <c r="G25" s="7" t="s">
        <v>82</v>
      </c>
      <c r="H25" s="7" t="s">
        <v>1311</v>
      </c>
      <c r="I25" s="8" t="s">
        <v>1292</v>
      </c>
      <c r="J25" s="8" t="s">
        <v>1293</v>
      </c>
      <c r="K25" s="9">
        <v>45959.772222222222</v>
      </c>
      <c r="L25" s="9">
        <v>45959.782638888893</v>
      </c>
      <c r="M25" s="9">
        <v>45959.803472222222</v>
      </c>
      <c r="N25" s="9">
        <v>45960.037499999999</v>
      </c>
      <c r="O25" s="10">
        <f t="shared" si="0"/>
        <v>5.6166666666395031</v>
      </c>
      <c r="P25" s="8">
        <v>0</v>
      </c>
      <c r="Q25" s="8" t="s">
        <v>1253</v>
      </c>
      <c r="R25" s="6" t="s">
        <v>1294</v>
      </c>
      <c r="S25" s="7" t="s">
        <v>1295</v>
      </c>
      <c r="T25" s="8" t="s">
        <v>1256</v>
      </c>
      <c r="U25" s="11">
        <f t="shared" si="1"/>
        <v>0</v>
      </c>
      <c r="V25" s="8" t="s">
        <v>1296</v>
      </c>
      <c r="W25" s="8" t="s">
        <v>1296</v>
      </c>
      <c r="X25" s="8" t="s">
        <v>1296</v>
      </c>
      <c r="Y25" s="8" t="s">
        <v>1296</v>
      </c>
      <c r="Z25" s="8" t="s">
        <v>1312</v>
      </c>
      <c r="AA25" s="12" t="str">
        <f t="shared" si="2"/>
        <v>UNK-UNK-UNK-UNK-REP</v>
      </c>
    </row>
    <row r="26" spans="1:27" ht="20" customHeight="1" x14ac:dyDescent="0.35">
      <c r="A26" s="6" t="s">
        <v>1250</v>
      </c>
      <c r="B26" s="6" t="s">
        <v>150</v>
      </c>
      <c r="C26" s="13">
        <v>45628</v>
      </c>
      <c r="D26" s="6" t="s">
        <v>1329</v>
      </c>
      <c r="E26" s="6" t="s">
        <v>47</v>
      </c>
      <c r="F26" s="6" t="s">
        <v>1407</v>
      </c>
      <c r="G26" s="7" t="s">
        <v>82</v>
      </c>
      <c r="H26" s="7" t="s">
        <v>1311</v>
      </c>
      <c r="I26" s="8" t="s">
        <v>1292</v>
      </c>
      <c r="J26" s="8" t="s">
        <v>1293</v>
      </c>
      <c r="K26" s="9">
        <v>45628.623611111107</v>
      </c>
      <c r="L26" s="9">
        <v>45628.634027777778</v>
      </c>
      <c r="M26" s="9">
        <v>45628.654861111107</v>
      </c>
      <c r="N26" s="9">
        <v>45628.820138888892</v>
      </c>
      <c r="O26" s="10">
        <f t="shared" si="0"/>
        <v>3.9666666668490507</v>
      </c>
      <c r="P26" s="8">
        <v>0</v>
      </c>
      <c r="Q26" s="8" t="s">
        <v>1263</v>
      </c>
      <c r="R26" s="6" t="s">
        <v>1294</v>
      </c>
      <c r="S26" s="7" t="s">
        <v>1295</v>
      </c>
      <c r="T26" s="8" t="s">
        <v>1256</v>
      </c>
      <c r="U26" s="11">
        <f t="shared" si="1"/>
        <v>0</v>
      </c>
      <c r="V26" s="8" t="s">
        <v>1296</v>
      </c>
      <c r="W26" s="8" t="s">
        <v>1296</v>
      </c>
      <c r="X26" s="8" t="s">
        <v>1296</v>
      </c>
      <c r="Y26" s="8" t="s">
        <v>1296</v>
      </c>
      <c r="Z26" s="8" t="s">
        <v>1312</v>
      </c>
      <c r="AA26" s="12" t="str">
        <f t="shared" si="2"/>
        <v>UNK-UNK-UNK-UNK-REP</v>
      </c>
    </row>
    <row r="27" spans="1:27" ht="20" customHeight="1" x14ac:dyDescent="0.35">
      <c r="A27" s="6" t="s">
        <v>1250</v>
      </c>
      <c r="B27" s="6" t="s">
        <v>155</v>
      </c>
      <c r="C27" s="13">
        <v>45441</v>
      </c>
      <c r="D27" s="6" t="s">
        <v>913</v>
      </c>
      <c r="E27" s="6" t="s">
        <v>47</v>
      </c>
      <c r="F27" s="6" t="s">
        <v>1408</v>
      </c>
      <c r="G27" s="7" t="s">
        <v>116</v>
      </c>
      <c r="H27" s="7" t="s">
        <v>1324</v>
      </c>
      <c r="I27" s="8" t="s">
        <v>1292</v>
      </c>
      <c r="J27" s="8" t="s">
        <v>1293</v>
      </c>
      <c r="K27" s="9">
        <v>45441.972916666673</v>
      </c>
      <c r="L27" s="9">
        <v>45441.98333333333</v>
      </c>
      <c r="M27" s="9">
        <v>45442.004166666673</v>
      </c>
      <c r="N27" s="9">
        <v>45442.50277777778</v>
      </c>
      <c r="O27" s="10">
        <f t="shared" si="0"/>
        <v>11.966666666558012</v>
      </c>
      <c r="P27" s="8">
        <v>0</v>
      </c>
      <c r="Q27" s="8" t="s">
        <v>1263</v>
      </c>
      <c r="R27" s="6" t="s">
        <v>1294</v>
      </c>
      <c r="S27" s="7" t="s">
        <v>1295</v>
      </c>
      <c r="T27" s="8" t="s">
        <v>1256</v>
      </c>
      <c r="U27" s="11">
        <f t="shared" si="1"/>
        <v>0</v>
      </c>
      <c r="V27" s="8" t="s">
        <v>1296</v>
      </c>
      <c r="W27" s="8" t="s">
        <v>1296</v>
      </c>
      <c r="X27" s="8" t="s">
        <v>1296</v>
      </c>
      <c r="Y27" s="8" t="s">
        <v>1296</v>
      </c>
      <c r="Z27" s="8" t="s">
        <v>1312</v>
      </c>
      <c r="AA27" s="12" t="str">
        <f t="shared" si="2"/>
        <v>UNK-UNK-UNK-UNK-REP</v>
      </c>
    </row>
    <row r="28" spans="1:27" ht="20" customHeight="1" x14ac:dyDescent="0.35">
      <c r="A28" s="6" t="s">
        <v>1250</v>
      </c>
      <c r="B28" s="6" t="s">
        <v>160</v>
      </c>
      <c r="C28" s="13">
        <v>45296</v>
      </c>
      <c r="D28" s="6" t="s">
        <v>402</v>
      </c>
      <c r="E28" s="6" t="s">
        <v>47</v>
      </c>
      <c r="F28" s="6" t="s">
        <v>1404</v>
      </c>
      <c r="G28" s="7" t="s">
        <v>45</v>
      </c>
      <c r="H28" s="7" t="s">
        <v>1291</v>
      </c>
      <c r="I28" s="8" t="s">
        <v>1292</v>
      </c>
      <c r="J28" s="8" t="s">
        <v>1293</v>
      </c>
      <c r="K28" s="9">
        <v>45296.311111111107</v>
      </c>
      <c r="L28" s="9">
        <v>45296.321527777778</v>
      </c>
      <c r="M28" s="9">
        <v>45296.342361111107</v>
      </c>
      <c r="N28" s="9">
        <v>45296.415277777778</v>
      </c>
      <c r="O28" s="10">
        <f t="shared" si="0"/>
        <v>1.7500000001164153</v>
      </c>
      <c r="P28" s="8">
        <v>0</v>
      </c>
      <c r="Q28" s="8" t="s">
        <v>1263</v>
      </c>
      <c r="R28" s="6" t="s">
        <v>1294</v>
      </c>
      <c r="S28" s="7" t="s">
        <v>1295</v>
      </c>
      <c r="T28" s="8" t="s">
        <v>1266</v>
      </c>
      <c r="U28" s="11">
        <f t="shared" si="1"/>
        <v>0</v>
      </c>
      <c r="V28" s="8" t="s">
        <v>1296</v>
      </c>
      <c r="W28" s="8" t="s">
        <v>1296</v>
      </c>
      <c r="X28" s="8" t="s">
        <v>1296</v>
      </c>
      <c r="Y28" s="8" t="s">
        <v>1296</v>
      </c>
      <c r="Z28" s="8" t="s">
        <v>1297</v>
      </c>
      <c r="AA28" s="12" t="str">
        <f t="shared" si="2"/>
        <v>UNK-UNK-UNK-UNK-ADJ</v>
      </c>
    </row>
    <row r="29" spans="1:27" ht="20" customHeight="1" x14ac:dyDescent="0.35">
      <c r="A29" s="6" t="s">
        <v>1250</v>
      </c>
      <c r="B29" s="6" t="s">
        <v>164</v>
      </c>
      <c r="C29" s="13">
        <v>45687</v>
      </c>
      <c r="D29" s="6" t="s">
        <v>761</v>
      </c>
      <c r="E29" s="6" t="s">
        <v>47</v>
      </c>
      <c r="F29" s="6" t="s">
        <v>1406</v>
      </c>
      <c r="G29" s="7" t="s">
        <v>76</v>
      </c>
      <c r="H29" s="7" t="s">
        <v>1310</v>
      </c>
      <c r="I29" s="8" t="s">
        <v>1272</v>
      </c>
      <c r="J29" s="8" t="s">
        <v>1252</v>
      </c>
      <c r="K29" s="9">
        <v>45687.890277777777</v>
      </c>
      <c r="L29" s="9">
        <v>45687.900694444441</v>
      </c>
      <c r="M29" s="9">
        <v>45687.921527777777</v>
      </c>
      <c r="N29" s="9">
        <v>45687.999305555553</v>
      </c>
      <c r="O29" s="10">
        <f t="shared" si="0"/>
        <v>1.8666666666395031</v>
      </c>
      <c r="P29" s="8">
        <v>0</v>
      </c>
      <c r="Q29" s="8" t="s">
        <v>1263</v>
      </c>
      <c r="R29" s="6" t="s">
        <v>1273</v>
      </c>
      <c r="S29" s="7" t="s">
        <v>1274</v>
      </c>
      <c r="T29" s="8" t="s">
        <v>1256</v>
      </c>
      <c r="U29" s="11">
        <f t="shared" si="1"/>
        <v>1</v>
      </c>
      <c r="V29" s="8" t="s">
        <v>1305</v>
      </c>
      <c r="W29" s="8" t="s">
        <v>1276</v>
      </c>
      <c r="X29" s="8" t="s">
        <v>1306</v>
      </c>
      <c r="Y29" s="8" t="s">
        <v>1290</v>
      </c>
      <c r="Z29" s="8" t="s">
        <v>1278</v>
      </c>
      <c r="AA29" s="12" t="str">
        <f t="shared" si="2"/>
        <v>SYS-CTRL-TRP-CTL-RST</v>
      </c>
    </row>
    <row r="30" spans="1:27" ht="20" customHeight="1" x14ac:dyDescent="0.35">
      <c r="A30" s="6" t="s">
        <v>1250</v>
      </c>
      <c r="B30" s="6" t="s">
        <v>168</v>
      </c>
      <c r="C30" s="13">
        <v>45988</v>
      </c>
      <c r="D30" s="6" t="s">
        <v>169</v>
      </c>
      <c r="E30" s="6" t="s">
        <v>14</v>
      </c>
      <c r="F30" s="6" t="s">
        <v>1407</v>
      </c>
      <c r="G30" s="7" t="s">
        <v>116</v>
      </c>
      <c r="H30" s="7" t="s">
        <v>1324</v>
      </c>
      <c r="I30" s="8" t="s">
        <v>1292</v>
      </c>
      <c r="J30" s="8" t="s">
        <v>1293</v>
      </c>
      <c r="K30" s="9">
        <v>45988.179861111108</v>
      </c>
      <c r="L30" s="9">
        <v>45988.19027777778</v>
      </c>
      <c r="M30" s="9">
        <v>45988.211111111108</v>
      </c>
      <c r="N30" s="9">
        <v>45988.384722222218</v>
      </c>
      <c r="O30" s="10">
        <f t="shared" si="0"/>
        <v>4.1666666666278616</v>
      </c>
      <c r="P30" s="8">
        <v>0</v>
      </c>
      <c r="Q30" s="8" t="s">
        <v>1263</v>
      </c>
      <c r="R30" s="6" t="s">
        <v>1294</v>
      </c>
      <c r="S30" s="7" t="s">
        <v>1295</v>
      </c>
      <c r="T30" s="8" t="s">
        <v>1256</v>
      </c>
      <c r="U30" s="11">
        <f t="shared" si="1"/>
        <v>0</v>
      </c>
      <c r="V30" s="8" t="s">
        <v>1275</v>
      </c>
      <c r="W30" s="8" t="s">
        <v>1276</v>
      </c>
      <c r="X30" s="8" t="s">
        <v>1277</v>
      </c>
      <c r="Y30" s="8" t="s">
        <v>1275</v>
      </c>
      <c r="Z30" s="8" t="s">
        <v>1312</v>
      </c>
      <c r="AA30" s="12" t="str">
        <f t="shared" si="2"/>
        <v>INS-CTRL-DRF-INS-REP</v>
      </c>
    </row>
    <row r="31" spans="1:27" ht="20" customHeight="1" x14ac:dyDescent="0.35">
      <c r="A31" s="6" t="s">
        <v>1250</v>
      </c>
      <c r="B31" s="6" t="s">
        <v>172</v>
      </c>
      <c r="C31" s="13">
        <v>45580</v>
      </c>
      <c r="D31" s="6" t="s">
        <v>174</v>
      </c>
      <c r="E31" s="6" t="s">
        <v>47</v>
      </c>
      <c r="F31" s="6" t="s">
        <v>20</v>
      </c>
      <c r="G31" s="7" t="s">
        <v>82</v>
      </c>
      <c r="H31" s="7" t="s">
        <v>1311</v>
      </c>
      <c r="I31" s="8" t="s">
        <v>1292</v>
      </c>
      <c r="J31" s="8" t="s">
        <v>1293</v>
      </c>
      <c r="K31" s="9">
        <v>45580.185416666667</v>
      </c>
      <c r="L31" s="9">
        <v>45580.195833333331</v>
      </c>
      <c r="M31" s="9">
        <v>45580.216666666667</v>
      </c>
      <c r="N31" s="9">
        <v>45580.301388888889</v>
      </c>
      <c r="O31" s="10">
        <f t="shared" si="0"/>
        <v>2.0333333333255723</v>
      </c>
      <c r="P31" s="8">
        <v>0</v>
      </c>
      <c r="Q31" s="8" t="s">
        <v>1253</v>
      </c>
      <c r="R31" s="6" t="s">
        <v>1294</v>
      </c>
      <c r="S31" s="7" t="s">
        <v>1295</v>
      </c>
      <c r="T31" s="8" t="s">
        <v>1256</v>
      </c>
      <c r="U31" s="11">
        <f t="shared" si="1"/>
        <v>0</v>
      </c>
      <c r="V31" s="8" t="s">
        <v>1296</v>
      </c>
      <c r="W31" s="8" t="s">
        <v>1296</v>
      </c>
      <c r="X31" s="8" t="s">
        <v>1296</v>
      </c>
      <c r="Y31" s="8" t="s">
        <v>1296</v>
      </c>
      <c r="Z31" s="8" t="s">
        <v>1312</v>
      </c>
      <c r="AA31" s="12" t="str">
        <f t="shared" si="2"/>
        <v>UNK-UNK-UNK-UNK-REP</v>
      </c>
    </row>
    <row r="32" spans="1:27" ht="20" customHeight="1" x14ac:dyDescent="0.35">
      <c r="A32" s="6" t="s">
        <v>1250</v>
      </c>
      <c r="B32" s="6" t="s">
        <v>177</v>
      </c>
      <c r="C32" s="13">
        <v>45762</v>
      </c>
      <c r="D32" s="6" t="s">
        <v>1173</v>
      </c>
      <c r="E32" s="6" t="s">
        <v>47</v>
      </c>
      <c r="F32" s="6" t="s">
        <v>1407</v>
      </c>
      <c r="G32" s="7" t="s">
        <v>82</v>
      </c>
      <c r="H32" s="7" t="s">
        <v>1311</v>
      </c>
      <c r="I32" s="8" t="s">
        <v>1292</v>
      </c>
      <c r="J32" s="8" t="s">
        <v>1293</v>
      </c>
      <c r="K32" s="9">
        <v>45762.518750000003</v>
      </c>
      <c r="L32" s="9">
        <v>45762.529166666667</v>
      </c>
      <c r="M32" s="9">
        <v>45762.55</v>
      </c>
      <c r="N32" s="9">
        <v>45762.761111111111</v>
      </c>
      <c r="O32" s="10">
        <f t="shared" si="0"/>
        <v>5.066666666592937</v>
      </c>
      <c r="P32" s="8">
        <v>0</v>
      </c>
      <c r="Q32" s="8" t="s">
        <v>1263</v>
      </c>
      <c r="R32" s="6" t="s">
        <v>1294</v>
      </c>
      <c r="S32" s="7" t="s">
        <v>1295</v>
      </c>
      <c r="T32" s="8" t="s">
        <v>1256</v>
      </c>
      <c r="U32" s="11">
        <f t="shared" si="1"/>
        <v>0</v>
      </c>
      <c r="V32" s="8" t="s">
        <v>1296</v>
      </c>
      <c r="W32" s="8" t="s">
        <v>1296</v>
      </c>
      <c r="X32" s="8" t="s">
        <v>1296</v>
      </c>
      <c r="Y32" s="8" t="s">
        <v>1296</v>
      </c>
      <c r="Z32" s="8" t="s">
        <v>1312</v>
      </c>
      <c r="AA32" s="12" t="str">
        <f t="shared" si="2"/>
        <v>UNK-UNK-UNK-UNK-REP</v>
      </c>
    </row>
    <row r="33" spans="1:27" ht="20" customHeight="1" x14ac:dyDescent="0.35">
      <c r="A33" s="6" t="s">
        <v>1250</v>
      </c>
      <c r="B33" s="6" t="s">
        <v>182</v>
      </c>
      <c r="C33" s="13">
        <v>45919</v>
      </c>
      <c r="D33" s="6" t="s">
        <v>1329</v>
      </c>
      <c r="E33" s="6" t="s">
        <v>47</v>
      </c>
      <c r="F33" s="6" t="s">
        <v>1408</v>
      </c>
      <c r="G33" s="7" t="s">
        <v>82</v>
      </c>
      <c r="H33" s="7" t="s">
        <v>1311</v>
      </c>
      <c r="I33" s="8" t="s">
        <v>1292</v>
      </c>
      <c r="J33" s="8" t="s">
        <v>1293</v>
      </c>
      <c r="K33" s="9">
        <v>45919.991666666669</v>
      </c>
      <c r="L33" s="9">
        <v>45920.002083333333</v>
      </c>
      <c r="M33" s="9">
        <v>45920.022916666669</v>
      </c>
      <c r="N33" s="9">
        <v>45920.217361111107</v>
      </c>
      <c r="O33" s="10">
        <f t="shared" si="0"/>
        <v>4.6666666665114462</v>
      </c>
      <c r="P33" s="8">
        <v>0</v>
      </c>
      <c r="Q33" s="8" t="s">
        <v>1263</v>
      </c>
      <c r="R33" s="6" t="s">
        <v>1294</v>
      </c>
      <c r="S33" s="7" t="s">
        <v>1295</v>
      </c>
      <c r="T33" s="8" t="s">
        <v>1256</v>
      </c>
      <c r="U33" s="11">
        <f t="shared" si="1"/>
        <v>0</v>
      </c>
      <c r="V33" s="8" t="s">
        <v>1296</v>
      </c>
      <c r="W33" s="8" t="s">
        <v>1296</v>
      </c>
      <c r="X33" s="8" t="s">
        <v>1296</v>
      </c>
      <c r="Y33" s="8" t="s">
        <v>1296</v>
      </c>
      <c r="Z33" s="8" t="s">
        <v>1312</v>
      </c>
      <c r="AA33" s="12" t="str">
        <f t="shared" si="2"/>
        <v>UNK-UNK-UNK-UNK-REP</v>
      </c>
    </row>
    <row r="34" spans="1:27" ht="20" customHeight="1" x14ac:dyDescent="0.35">
      <c r="A34" s="6" t="s">
        <v>1250</v>
      </c>
      <c r="B34" s="6" t="s">
        <v>186</v>
      </c>
      <c r="C34" s="13">
        <v>45937</v>
      </c>
      <c r="D34" s="6" t="s">
        <v>659</v>
      </c>
      <c r="E34" s="6" t="s">
        <v>60</v>
      </c>
      <c r="F34" s="6" t="s">
        <v>1404</v>
      </c>
      <c r="G34" s="7" t="s">
        <v>82</v>
      </c>
      <c r="H34" s="7" t="s">
        <v>1311</v>
      </c>
      <c r="I34" s="8" t="s">
        <v>1292</v>
      </c>
      <c r="J34" s="8" t="s">
        <v>1293</v>
      </c>
      <c r="K34" s="9">
        <v>45937.699305555558</v>
      </c>
      <c r="L34" s="9">
        <v>45937.709722222222</v>
      </c>
      <c r="M34" s="9">
        <v>45937.730555555558</v>
      </c>
      <c r="N34" s="9">
        <v>45937.850694444453</v>
      </c>
      <c r="O34" s="10">
        <f t="shared" si="0"/>
        <v>2.8833333334769122</v>
      </c>
      <c r="P34" s="8">
        <v>0</v>
      </c>
      <c r="Q34" s="8" t="s">
        <v>1253</v>
      </c>
      <c r="R34" s="6" t="s">
        <v>1294</v>
      </c>
      <c r="S34" s="7" t="s">
        <v>1295</v>
      </c>
      <c r="T34" s="8" t="s">
        <v>1256</v>
      </c>
      <c r="U34" s="11">
        <f t="shared" si="1"/>
        <v>0</v>
      </c>
      <c r="V34" s="8" t="s">
        <v>1296</v>
      </c>
      <c r="W34" s="8" t="s">
        <v>1296</v>
      </c>
      <c r="X34" s="8" t="s">
        <v>1296</v>
      </c>
      <c r="Y34" s="8" t="s">
        <v>1296</v>
      </c>
      <c r="Z34" s="8" t="s">
        <v>1312</v>
      </c>
      <c r="AA34" s="12" t="str">
        <f t="shared" si="2"/>
        <v>UNK-UNK-UNK-UNK-REP</v>
      </c>
    </row>
    <row r="35" spans="1:27" ht="20" customHeight="1" x14ac:dyDescent="0.35">
      <c r="A35" s="6" t="s">
        <v>1250</v>
      </c>
      <c r="B35" s="6" t="s">
        <v>191</v>
      </c>
      <c r="C35" s="13">
        <v>45340</v>
      </c>
      <c r="D35" s="6" t="s">
        <v>270</v>
      </c>
      <c r="E35" s="6" t="s">
        <v>41</v>
      </c>
      <c r="F35" s="6" t="s">
        <v>1408</v>
      </c>
      <c r="G35" s="7" t="s">
        <v>194</v>
      </c>
      <c r="H35" s="7" t="s">
        <v>1330</v>
      </c>
      <c r="I35" s="8" t="s">
        <v>1292</v>
      </c>
      <c r="J35" s="8" t="s">
        <v>1293</v>
      </c>
      <c r="K35" s="9">
        <v>45340.5</v>
      </c>
      <c r="L35" s="9">
        <v>45340.510416666657</v>
      </c>
      <c r="M35" s="9">
        <v>45340.53125</v>
      </c>
      <c r="N35" s="9">
        <v>45340.5625</v>
      </c>
      <c r="O35" s="10">
        <f t="shared" si="0"/>
        <v>0.75</v>
      </c>
      <c r="P35" s="8">
        <v>0</v>
      </c>
      <c r="Q35" s="8" t="s">
        <v>1263</v>
      </c>
      <c r="R35" s="6" t="s">
        <v>1294</v>
      </c>
      <c r="S35" s="7" t="s">
        <v>1295</v>
      </c>
      <c r="T35" s="8" t="s">
        <v>1266</v>
      </c>
      <c r="U35" s="11">
        <f t="shared" si="1"/>
        <v>0</v>
      </c>
      <c r="V35" s="8" t="s">
        <v>1296</v>
      </c>
      <c r="W35" s="8" t="s">
        <v>1296</v>
      </c>
      <c r="X35" s="8" t="s">
        <v>1296</v>
      </c>
      <c r="Y35" s="8" t="s">
        <v>1296</v>
      </c>
      <c r="Z35" s="8" t="s">
        <v>1326</v>
      </c>
      <c r="AA35" s="12" t="str">
        <f t="shared" si="2"/>
        <v>UNK-UNK-UNK-UNK-CLN</v>
      </c>
    </row>
    <row r="36" spans="1:27" ht="20" customHeight="1" x14ac:dyDescent="0.35">
      <c r="A36" s="6" t="s">
        <v>1250</v>
      </c>
      <c r="B36" s="6" t="s">
        <v>196</v>
      </c>
      <c r="C36" s="13">
        <v>45466</v>
      </c>
      <c r="D36" s="6" t="s">
        <v>281</v>
      </c>
      <c r="E36" s="6" t="s">
        <v>21</v>
      </c>
      <c r="F36" s="6" t="s">
        <v>1404</v>
      </c>
      <c r="G36" s="7" t="s">
        <v>121</v>
      </c>
      <c r="H36" s="7" t="s">
        <v>1325</v>
      </c>
      <c r="I36" s="8" t="s">
        <v>1292</v>
      </c>
      <c r="J36" s="8" t="s">
        <v>1293</v>
      </c>
      <c r="K36" s="9">
        <v>45466.458333333343</v>
      </c>
      <c r="L36" s="9">
        <v>45466.46875</v>
      </c>
      <c r="M36" s="9">
        <v>45466.489583333343</v>
      </c>
      <c r="N36" s="9">
        <v>45466.506249999999</v>
      </c>
      <c r="O36" s="10">
        <f t="shared" si="0"/>
        <v>0.39999999973224476</v>
      </c>
      <c r="P36" s="8">
        <v>0</v>
      </c>
      <c r="Q36" s="8" t="s">
        <v>1253</v>
      </c>
      <c r="R36" s="6" t="s">
        <v>1294</v>
      </c>
      <c r="S36" s="7" t="s">
        <v>1295</v>
      </c>
      <c r="T36" s="8" t="s">
        <v>1256</v>
      </c>
      <c r="U36" s="11">
        <f t="shared" si="1"/>
        <v>0</v>
      </c>
      <c r="V36" s="8" t="s">
        <v>1288</v>
      </c>
      <c r="W36" s="8" t="s">
        <v>1276</v>
      </c>
      <c r="X36" s="8" t="s">
        <v>1289</v>
      </c>
      <c r="Y36" s="8" t="s">
        <v>1290</v>
      </c>
      <c r="Z36" s="8" t="s">
        <v>1261</v>
      </c>
      <c r="AA36" s="12" t="str">
        <f t="shared" si="2"/>
        <v>ACT-CTRL-STK-CTL-INSP</v>
      </c>
    </row>
    <row r="37" spans="1:27" ht="20" customHeight="1" x14ac:dyDescent="0.35">
      <c r="A37" s="6" t="s">
        <v>1250</v>
      </c>
      <c r="B37" s="6" t="s">
        <v>201</v>
      </c>
      <c r="C37" s="13">
        <v>45001</v>
      </c>
      <c r="D37" s="6" t="s">
        <v>203</v>
      </c>
      <c r="E37" s="6" t="s">
        <v>207</v>
      </c>
      <c r="F37" s="6" t="s">
        <v>1405</v>
      </c>
      <c r="G37" s="7" t="s">
        <v>204</v>
      </c>
      <c r="H37" s="7" t="s">
        <v>1331</v>
      </c>
      <c r="I37" s="8" t="s">
        <v>1292</v>
      </c>
      <c r="J37" s="8" t="s">
        <v>1293</v>
      </c>
      <c r="K37" s="9">
        <v>45001.665972222218</v>
      </c>
      <c r="L37" s="9">
        <v>45001.676388888889</v>
      </c>
      <c r="M37" s="9">
        <v>45001.697222222218</v>
      </c>
      <c r="N37" s="9">
        <v>45001.793055555558</v>
      </c>
      <c r="O37" s="10">
        <f t="shared" si="0"/>
        <v>2.3000000001629815</v>
      </c>
      <c r="P37" s="8">
        <v>0</v>
      </c>
      <c r="Q37" s="8" t="s">
        <v>1263</v>
      </c>
      <c r="R37" s="6" t="s">
        <v>1294</v>
      </c>
      <c r="S37" s="7" t="s">
        <v>1295</v>
      </c>
      <c r="T37" s="8" t="s">
        <v>1256</v>
      </c>
      <c r="U37" s="11">
        <f t="shared" si="1"/>
        <v>0</v>
      </c>
      <c r="V37" s="8" t="s">
        <v>1275</v>
      </c>
      <c r="W37" s="8" t="s">
        <v>1276</v>
      </c>
      <c r="X37" s="8" t="s">
        <v>1277</v>
      </c>
      <c r="Y37" s="8" t="s">
        <v>1275</v>
      </c>
      <c r="Z37" s="8" t="s">
        <v>1297</v>
      </c>
      <c r="AA37" s="12" t="str">
        <f t="shared" si="2"/>
        <v>INS-CTRL-DRF-INS-ADJ</v>
      </c>
    </row>
    <row r="38" spans="1:27" ht="20" customHeight="1" x14ac:dyDescent="0.35">
      <c r="A38" s="6" t="s">
        <v>1250</v>
      </c>
      <c r="B38" s="6" t="s">
        <v>208</v>
      </c>
      <c r="C38" s="13">
        <v>45847</v>
      </c>
      <c r="D38" s="6" t="s">
        <v>358</v>
      </c>
      <c r="E38" s="6" t="s">
        <v>47</v>
      </c>
      <c r="F38" s="6" t="s">
        <v>1406</v>
      </c>
      <c r="G38" s="7" t="s">
        <v>82</v>
      </c>
      <c r="H38" s="7" t="s">
        <v>1311</v>
      </c>
      <c r="I38" s="8" t="s">
        <v>1292</v>
      </c>
      <c r="J38" s="8" t="s">
        <v>1293</v>
      </c>
      <c r="K38" s="9">
        <v>45847.615277777782</v>
      </c>
      <c r="L38" s="9">
        <v>45847.625694444447</v>
      </c>
      <c r="M38" s="9">
        <v>45847.646527777782</v>
      </c>
      <c r="N38" s="9">
        <v>45847.719444444447</v>
      </c>
      <c r="O38" s="10">
        <f t="shared" si="0"/>
        <v>1.7499999999417923</v>
      </c>
      <c r="P38" s="8">
        <v>0</v>
      </c>
      <c r="Q38" s="8" t="s">
        <v>1263</v>
      </c>
      <c r="R38" s="6" t="s">
        <v>1294</v>
      </c>
      <c r="S38" s="7" t="s">
        <v>1295</v>
      </c>
      <c r="T38" s="8" t="s">
        <v>1266</v>
      </c>
      <c r="U38" s="11">
        <f t="shared" si="1"/>
        <v>0</v>
      </c>
      <c r="V38" s="8" t="s">
        <v>1296</v>
      </c>
      <c r="W38" s="8" t="s">
        <v>1296</v>
      </c>
      <c r="X38" s="8" t="s">
        <v>1296</v>
      </c>
      <c r="Y38" s="8" t="s">
        <v>1296</v>
      </c>
      <c r="Z38" s="8" t="s">
        <v>1312</v>
      </c>
      <c r="AA38" s="12" t="str">
        <f t="shared" si="2"/>
        <v>UNK-UNK-UNK-UNK-REP</v>
      </c>
    </row>
    <row r="39" spans="1:27" ht="20" customHeight="1" x14ac:dyDescent="0.35">
      <c r="A39" s="6" t="s">
        <v>1250</v>
      </c>
      <c r="B39" s="6" t="s">
        <v>212</v>
      </c>
      <c r="C39" s="13">
        <v>45286</v>
      </c>
      <c r="D39" s="6" t="s">
        <v>1303</v>
      </c>
      <c r="E39" s="6" t="s">
        <v>60</v>
      </c>
      <c r="F39" s="6" t="s">
        <v>33</v>
      </c>
      <c r="G39" s="7" t="s">
        <v>51</v>
      </c>
      <c r="H39" s="7" t="s">
        <v>1298</v>
      </c>
      <c r="I39" s="8" t="s">
        <v>1252</v>
      </c>
      <c r="J39" s="8" t="s">
        <v>1252</v>
      </c>
      <c r="K39" s="9">
        <v>45286.132638888892</v>
      </c>
      <c r="L39" s="9">
        <v>45286.143055555563</v>
      </c>
      <c r="M39" s="9">
        <v>45286.163888888892</v>
      </c>
      <c r="N39" s="9">
        <v>45286.762499999997</v>
      </c>
      <c r="O39" s="10">
        <f t="shared" si="0"/>
        <v>14.366666666523088</v>
      </c>
      <c r="P39" s="8">
        <v>0</v>
      </c>
      <c r="Q39" s="8" t="s">
        <v>1263</v>
      </c>
      <c r="R39" s="6" t="s">
        <v>1299</v>
      </c>
      <c r="S39" s="7" t="s">
        <v>1300</v>
      </c>
      <c r="T39" s="8" t="s">
        <v>1256</v>
      </c>
      <c r="U39" s="11">
        <f t="shared" si="1"/>
        <v>1</v>
      </c>
      <c r="V39" s="8" t="s">
        <v>1301</v>
      </c>
      <c r="W39" s="8" t="s">
        <v>1258</v>
      </c>
      <c r="X39" s="8" t="s">
        <v>1302</v>
      </c>
      <c r="Y39" s="8" t="s">
        <v>1260</v>
      </c>
      <c r="Z39" s="8" t="s">
        <v>1261</v>
      </c>
      <c r="AA39" s="12" t="str">
        <f t="shared" si="2"/>
        <v>BRG-DE-VIB-MEC-INSP</v>
      </c>
    </row>
    <row r="40" spans="1:27" ht="20" customHeight="1" x14ac:dyDescent="0.35">
      <c r="A40" s="6" t="s">
        <v>1250</v>
      </c>
      <c r="B40" s="6" t="s">
        <v>217</v>
      </c>
      <c r="C40" s="13">
        <v>45857</v>
      </c>
      <c r="D40" s="6" t="s">
        <v>794</v>
      </c>
      <c r="E40" s="6" t="s">
        <v>41</v>
      </c>
      <c r="F40" s="6" t="s">
        <v>33</v>
      </c>
      <c r="G40" s="7" t="s">
        <v>220</v>
      </c>
      <c r="H40" s="7" t="s">
        <v>1283</v>
      </c>
      <c r="I40" s="8" t="s">
        <v>1284</v>
      </c>
      <c r="J40" s="8" t="s">
        <v>1285</v>
      </c>
      <c r="K40" s="9">
        <v>45857.541666666657</v>
      </c>
      <c r="L40" s="9">
        <v>45857.541666666657</v>
      </c>
      <c r="M40" s="9">
        <v>45857.541666666657</v>
      </c>
      <c r="N40" s="9">
        <v>45857.594444444447</v>
      </c>
      <c r="O40" s="10">
        <f t="shared" si="0"/>
        <v>1.2666666669538245</v>
      </c>
      <c r="P40" s="8">
        <v>1</v>
      </c>
      <c r="Q40" s="8" t="s">
        <v>1263</v>
      </c>
      <c r="R40" s="6" t="s">
        <v>1286</v>
      </c>
      <c r="S40" s="7" t="s">
        <v>1287</v>
      </c>
      <c r="T40" s="8" t="s">
        <v>1256</v>
      </c>
      <c r="U40" s="11">
        <f t="shared" si="1"/>
        <v>0</v>
      </c>
      <c r="V40" s="8" t="s">
        <v>1296</v>
      </c>
      <c r="W40" s="8" t="s">
        <v>1296</v>
      </c>
      <c r="X40" s="8" t="s">
        <v>1296</v>
      </c>
      <c r="Y40" s="8" t="s">
        <v>1296</v>
      </c>
      <c r="Z40" s="8" t="s">
        <v>1284</v>
      </c>
      <c r="AA40" s="12" t="str">
        <f t="shared" si="2"/>
        <v>UNK-UNK-UNK-UNK-PM</v>
      </c>
    </row>
    <row r="41" spans="1:27" ht="20" customHeight="1" x14ac:dyDescent="0.35">
      <c r="A41" s="6" t="s">
        <v>1250</v>
      </c>
      <c r="B41" s="6" t="s">
        <v>223</v>
      </c>
      <c r="C41" s="13">
        <v>44956</v>
      </c>
      <c r="D41" s="6" t="s">
        <v>1332</v>
      </c>
      <c r="E41" s="6" t="s">
        <v>41</v>
      </c>
      <c r="F41" s="6" t="s">
        <v>1408</v>
      </c>
      <c r="G41" s="7" t="s">
        <v>226</v>
      </c>
      <c r="H41" s="7" t="s">
        <v>1333</v>
      </c>
      <c r="I41" s="8" t="s">
        <v>1272</v>
      </c>
      <c r="J41" s="8" t="s">
        <v>1252</v>
      </c>
      <c r="K41" s="9">
        <v>44956.758333333331</v>
      </c>
      <c r="L41" s="9">
        <v>44956.768750000003</v>
      </c>
      <c r="M41" s="9">
        <v>44956.789583333331</v>
      </c>
      <c r="N41" s="9">
        <v>44956.973611111112</v>
      </c>
      <c r="O41" s="10">
        <f t="shared" si="0"/>
        <v>4.4166666667442769</v>
      </c>
      <c r="P41" s="8">
        <v>0</v>
      </c>
      <c r="Q41" s="8" t="s">
        <v>1253</v>
      </c>
      <c r="R41" s="6" t="s">
        <v>1315</v>
      </c>
      <c r="S41" s="7" t="s">
        <v>1316</v>
      </c>
      <c r="T41" s="8" t="s">
        <v>1256</v>
      </c>
      <c r="U41" s="11">
        <f t="shared" si="1"/>
        <v>1</v>
      </c>
      <c r="V41" s="8" t="s">
        <v>1282</v>
      </c>
      <c r="W41" s="8" t="s">
        <v>1268</v>
      </c>
      <c r="X41" s="8" t="s">
        <v>1317</v>
      </c>
      <c r="Y41" s="8" t="s">
        <v>1318</v>
      </c>
      <c r="Z41" s="8" t="s">
        <v>1278</v>
      </c>
      <c r="AA41" s="12" t="str">
        <f t="shared" si="2"/>
        <v>IMP-SUC-CAV-HYD-RST</v>
      </c>
    </row>
    <row r="42" spans="1:27" ht="20" customHeight="1" x14ac:dyDescent="0.35">
      <c r="A42" s="6" t="s">
        <v>1250</v>
      </c>
      <c r="B42" s="6" t="s">
        <v>229</v>
      </c>
      <c r="C42" s="13">
        <v>45140</v>
      </c>
      <c r="D42" s="6" t="s">
        <v>323</v>
      </c>
      <c r="E42" s="6" t="s">
        <v>14</v>
      </c>
      <c r="F42" s="6" t="s">
        <v>1405</v>
      </c>
      <c r="G42" s="7" t="s">
        <v>232</v>
      </c>
      <c r="H42" s="7" t="s">
        <v>1334</v>
      </c>
      <c r="I42" s="8" t="s">
        <v>1252</v>
      </c>
      <c r="J42" s="8" t="s">
        <v>1252</v>
      </c>
      <c r="K42" s="9">
        <v>45140.031944444447</v>
      </c>
      <c r="L42" s="9">
        <v>45140.042361111111</v>
      </c>
      <c r="M42" s="9">
        <v>45140.063194444447</v>
      </c>
      <c r="N42" s="9">
        <v>45140.138888888891</v>
      </c>
      <c r="O42" s="10">
        <f t="shared" si="0"/>
        <v>1.8166666666511446</v>
      </c>
      <c r="P42" s="8">
        <v>0</v>
      </c>
      <c r="Q42" s="8" t="s">
        <v>1263</v>
      </c>
      <c r="R42" s="6" t="s">
        <v>1280</v>
      </c>
      <c r="S42" s="7" t="s">
        <v>1281</v>
      </c>
      <c r="T42" s="8" t="s">
        <v>1256</v>
      </c>
      <c r="U42" s="11">
        <f t="shared" si="1"/>
        <v>1</v>
      </c>
      <c r="V42" s="8" t="s">
        <v>1282</v>
      </c>
      <c r="W42" s="8" t="s">
        <v>1276</v>
      </c>
      <c r="X42" s="8" t="s">
        <v>1269</v>
      </c>
      <c r="Y42" s="8" t="s">
        <v>1275</v>
      </c>
      <c r="Z42" s="8" t="s">
        <v>1261</v>
      </c>
      <c r="AA42" s="12" t="str">
        <f t="shared" si="2"/>
        <v>IMP-CTRL-BLK-INS-INSP</v>
      </c>
    </row>
    <row r="43" spans="1:27" ht="20" customHeight="1" x14ac:dyDescent="0.35">
      <c r="A43" s="6" t="s">
        <v>1250</v>
      </c>
      <c r="B43" s="6" t="s">
        <v>235</v>
      </c>
      <c r="C43" s="13">
        <v>45646</v>
      </c>
      <c r="D43" s="6" t="s">
        <v>716</v>
      </c>
      <c r="E43" s="6" t="s">
        <v>14</v>
      </c>
      <c r="F43" s="6" t="s">
        <v>1407</v>
      </c>
      <c r="G43" s="7" t="s">
        <v>116</v>
      </c>
      <c r="H43" s="7" t="s">
        <v>1324</v>
      </c>
      <c r="I43" s="8" t="s">
        <v>1292</v>
      </c>
      <c r="J43" s="8" t="s">
        <v>1293</v>
      </c>
      <c r="K43" s="9">
        <v>45646.285416666673</v>
      </c>
      <c r="L43" s="9">
        <v>45646.29583333333</v>
      </c>
      <c r="M43" s="9">
        <v>45646.316666666673</v>
      </c>
      <c r="N43" s="9">
        <v>45646.652083333327</v>
      </c>
      <c r="O43" s="10">
        <f t="shared" si="0"/>
        <v>8.0499999996973202</v>
      </c>
      <c r="P43" s="8">
        <v>0</v>
      </c>
      <c r="Q43" s="8" t="s">
        <v>1253</v>
      </c>
      <c r="R43" s="6" t="s">
        <v>1294</v>
      </c>
      <c r="S43" s="7" t="s">
        <v>1295</v>
      </c>
      <c r="T43" s="8" t="s">
        <v>1256</v>
      </c>
      <c r="U43" s="11">
        <f t="shared" si="1"/>
        <v>0</v>
      </c>
      <c r="V43" s="8" t="s">
        <v>1296</v>
      </c>
      <c r="W43" s="8" t="s">
        <v>1296</v>
      </c>
      <c r="X43" s="8" t="s">
        <v>1296</v>
      </c>
      <c r="Y43" s="8" t="s">
        <v>1296</v>
      </c>
      <c r="Z43" s="8" t="s">
        <v>1312</v>
      </c>
      <c r="AA43" s="12" t="str">
        <f t="shared" si="2"/>
        <v>UNK-UNK-UNK-UNK-REP</v>
      </c>
    </row>
    <row r="44" spans="1:27" ht="20" customHeight="1" x14ac:dyDescent="0.35">
      <c r="A44" s="6" t="s">
        <v>1250</v>
      </c>
      <c r="B44" s="6" t="s">
        <v>240</v>
      </c>
      <c r="C44" s="13">
        <v>45688</v>
      </c>
      <c r="D44" s="6" t="s">
        <v>697</v>
      </c>
      <c r="E44" s="6" t="s">
        <v>41</v>
      </c>
      <c r="F44" s="6" t="s">
        <v>1408</v>
      </c>
      <c r="G44" s="7" t="s">
        <v>243</v>
      </c>
      <c r="H44" s="7" t="s">
        <v>1283</v>
      </c>
      <c r="I44" s="8" t="s">
        <v>1284</v>
      </c>
      <c r="J44" s="8" t="s">
        <v>1285</v>
      </c>
      <c r="K44" s="9">
        <v>45688.541666666657</v>
      </c>
      <c r="L44" s="9">
        <v>45688.541666666657</v>
      </c>
      <c r="M44" s="9">
        <v>45688.541666666657</v>
      </c>
      <c r="N44" s="9">
        <v>45688.598611111112</v>
      </c>
      <c r="O44" s="10">
        <f t="shared" si="0"/>
        <v>1.3666666669305414</v>
      </c>
      <c r="P44" s="8">
        <v>1</v>
      </c>
      <c r="Q44" s="8" t="s">
        <v>1263</v>
      </c>
      <c r="R44" s="6" t="s">
        <v>1286</v>
      </c>
      <c r="S44" s="7" t="s">
        <v>1287</v>
      </c>
      <c r="T44" s="8" t="s">
        <v>1256</v>
      </c>
      <c r="U44" s="11">
        <f t="shared" si="1"/>
        <v>0</v>
      </c>
      <c r="V44" s="8" t="s">
        <v>1296</v>
      </c>
      <c r="W44" s="8" t="s">
        <v>1296</v>
      </c>
      <c r="X44" s="8" t="s">
        <v>1296</v>
      </c>
      <c r="Y44" s="8" t="s">
        <v>1296</v>
      </c>
      <c r="Z44" s="8" t="s">
        <v>1261</v>
      </c>
      <c r="AA44" s="12" t="str">
        <f t="shared" si="2"/>
        <v>UNK-UNK-UNK-UNK-INSP</v>
      </c>
    </row>
    <row r="45" spans="1:27" ht="20" customHeight="1" x14ac:dyDescent="0.35">
      <c r="A45" s="6" t="s">
        <v>1250</v>
      </c>
      <c r="B45" s="6" t="s">
        <v>246</v>
      </c>
      <c r="C45" s="13">
        <v>46022</v>
      </c>
      <c r="D45" s="6" t="s">
        <v>1335</v>
      </c>
      <c r="E45" s="6" t="s">
        <v>41</v>
      </c>
      <c r="F45" s="6" t="s">
        <v>20</v>
      </c>
      <c r="G45" s="7" t="s">
        <v>249</v>
      </c>
      <c r="H45" s="7" t="s">
        <v>1336</v>
      </c>
      <c r="I45" s="8" t="s">
        <v>1272</v>
      </c>
      <c r="J45" s="8" t="s">
        <v>1252</v>
      </c>
      <c r="K45" s="9">
        <v>46022.327777777777</v>
      </c>
      <c r="L45" s="9">
        <v>46022.338194444441</v>
      </c>
      <c r="M45" s="9">
        <v>46022.359027777777</v>
      </c>
      <c r="N45" s="9">
        <v>46022.57916666667</v>
      </c>
      <c r="O45" s="10">
        <f t="shared" si="0"/>
        <v>5.2833333334419876</v>
      </c>
      <c r="P45" s="8">
        <v>0</v>
      </c>
      <c r="Q45" s="8" t="s">
        <v>1263</v>
      </c>
      <c r="R45" s="6" t="s">
        <v>1273</v>
      </c>
      <c r="S45" s="7" t="s">
        <v>1274</v>
      </c>
      <c r="T45" s="8" t="s">
        <v>1256</v>
      </c>
      <c r="U45" s="11">
        <f t="shared" si="1"/>
        <v>1</v>
      </c>
      <c r="V45" s="8" t="s">
        <v>1305</v>
      </c>
      <c r="W45" s="8" t="s">
        <v>1276</v>
      </c>
      <c r="X45" s="8" t="s">
        <v>1306</v>
      </c>
      <c r="Y45" s="8" t="s">
        <v>1290</v>
      </c>
      <c r="Z45" s="8" t="s">
        <v>1278</v>
      </c>
      <c r="AA45" s="12" t="str">
        <f t="shared" si="2"/>
        <v>SYS-CTRL-TRP-CTL-RST</v>
      </c>
    </row>
    <row r="46" spans="1:27" ht="20" customHeight="1" x14ac:dyDescent="0.35">
      <c r="A46" s="6" t="s">
        <v>1250</v>
      </c>
      <c r="B46" s="6" t="s">
        <v>252</v>
      </c>
      <c r="C46" s="13">
        <v>45323</v>
      </c>
      <c r="D46" s="6" t="s">
        <v>596</v>
      </c>
      <c r="E46" s="6" t="s">
        <v>41</v>
      </c>
      <c r="F46" s="6" t="s">
        <v>1405</v>
      </c>
      <c r="G46" s="7" t="s">
        <v>255</v>
      </c>
      <c r="H46" s="7" t="s">
        <v>1283</v>
      </c>
      <c r="I46" s="8" t="s">
        <v>1284</v>
      </c>
      <c r="J46" s="8" t="s">
        <v>1285</v>
      </c>
      <c r="K46" s="9">
        <v>45323.291666666657</v>
      </c>
      <c r="L46" s="9">
        <v>45323.291666666657</v>
      </c>
      <c r="M46" s="9">
        <v>45323.291666666657</v>
      </c>
      <c r="N46" s="9">
        <v>45323.354166666657</v>
      </c>
      <c r="O46" s="10">
        <f t="shared" si="0"/>
        <v>1.5</v>
      </c>
      <c r="P46" s="8">
        <v>1</v>
      </c>
      <c r="Q46" s="8" t="s">
        <v>1263</v>
      </c>
      <c r="R46" s="6" t="s">
        <v>1286</v>
      </c>
      <c r="S46" s="7" t="s">
        <v>1287</v>
      </c>
      <c r="T46" s="8" t="s">
        <v>1266</v>
      </c>
      <c r="U46" s="11">
        <f t="shared" si="1"/>
        <v>0</v>
      </c>
      <c r="V46" s="8" t="s">
        <v>1301</v>
      </c>
      <c r="W46" s="8" t="s">
        <v>1258</v>
      </c>
      <c r="X46" s="8" t="s">
        <v>1302</v>
      </c>
      <c r="Y46" s="8" t="s">
        <v>1260</v>
      </c>
      <c r="Z46" s="8" t="s">
        <v>1297</v>
      </c>
      <c r="AA46" s="12" t="str">
        <f t="shared" si="2"/>
        <v>BRG-DE-VIB-MEC-ADJ</v>
      </c>
    </row>
    <row r="47" spans="1:27" ht="20" customHeight="1" x14ac:dyDescent="0.35">
      <c r="A47" s="6" t="s">
        <v>1250</v>
      </c>
      <c r="B47" s="6" t="s">
        <v>257</v>
      </c>
      <c r="C47" s="13">
        <v>45673</v>
      </c>
      <c r="D47" s="6" t="s">
        <v>576</v>
      </c>
      <c r="E47" s="6" t="s">
        <v>60</v>
      </c>
      <c r="F47" s="6" t="s">
        <v>1407</v>
      </c>
      <c r="G47" s="7" t="s">
        <v>38</v>
      </c>
      <c r="H47" s="7" t="s">
        <v>1283</v>
      </c>
      <c r="I47" s="8" t="s">
        <v>1284</v>
      </c>
      <c r="J47" s="8" t="s">
        <v>1285</v>
      </c>
      <c r="K47" s="9">
        <v>45673.583333333343</v>
      </c>
      <c r="L47" s="9">
        <v>45673.583333333343</v>
      </c>
      <c r="M47" s="9">
        <v>45673.583333333343</v>
      </c>
      <c r="N47" s="9">
        <v>45673.627083333333</v>
      </c>
      <c r="O47" s="10">
        <f t="shared" si="0"/>
        <v>1.0499999997555278</v>
      </c>
      <c r="P47" s="8">
        <v>1</v>
      </c>
      <c r="Q47" s="8" t="s">
        <v>1263</v>
      </c>
      <c r="R47" s="6" t="s">
        <v>1286</v>
      </c>
      <c r="S47" s="7" t="s">
        <v>1287</v>
      </c>
      <c r="T47" s="8" t="s">
        <v>1256</v>
      </c>
      <c r="U47" s="11">
        <f t="shared" si="1"/>
        <v>0</v>
      </c>
      <c r="V47" s="8" t="s">
        <v>1296</v>
      </c>
      <c r="W47" s="8" t="s">
        <v>1296</v>
      </c>
      <c r="X47" s="8" t="s">
        <v>1296</v>
      </c>
      <c r="Y47" s="8" t="s">
        <v>1296</v>
      </c>
      <c r="Z47" s="8" t="s">
        <v>1261</v>
      </c>
      <c r="AA47" s="12" t="str">
        <f t="shared" si="2"/>
        <v>UNK-UNK-UNK-UNK-INSP</v>
      </c>
    </row>
    <row r="48" spans="1:27" ht="20" customHeight="1" x14ac:dyDescent="0.35">
      <c r="A48" s="6" t="s">
        <v>1250</v>
      </c>
      <c r="B48" s="6" t="s">
        <v>262</v>
      </c>
      <c r="C48" s="13">
        <v>46016</v>
      </c>
      <c r="D48" s="6" t="s">
        <v>721</v>
      </c>
      <c r="E48" s="6" t="s">
        <v>34</v>
      </c>
      <c r="F48" s="6" t="s">
        <v>1406</v>
      </c>
      <c r="G48" s="7" t="s">
        <v>265</v>
      </c>
      <c r="H48" s="7" t="s">
        <v>1337</v>
      </c>
      <c r="I48" s="8" t="s">
        <v>1272</v>
      </c>
      <c r="J48" s="8" t="s">
        <v>1252</v>
      </c>
      <c r="K48" s="9">
        <v>46016.067361111112</v>
      </c>
      <c r="L48" s="9">
        <v>46016.077777777777</v>
      </c>
      <c r="M48" s="9">
        <v>46016.098611111112</v>
      </c>
      <c r="N48" s="9">
        <v>46016.158333333333</v>
      </c>
      <c r="O48" s="10">
        <f t="shared" si="0"/>
        <v>1.4333333332906477</v>
      </c>
      <c r="P48" s="8">
        <v>0</v>
      </c>
      <c r="Q48" s="8" t="s">
        <v>1263</v>
      </c>
      <c r="R48" s="6" t="s">
        <v>1273</v>
      </c>
      <c r="S48" s="7" t="s">
        <v>1274</v>
      </c>
      <c r="T48" s="8" t="s">
        <v>1256</v>
      </c>
      <c r="U48" s="11">
        <f t="shared" si="1"/>
        <v>1</v>
      </c>
      <c r="V48" s="8" t="s">
        <v>1305</v>
      </c>
      <c r="W48" s="8" t="s">
        <v>1276</v>
      </c>
      <c r="X48" s="8" t="s">
        <v>1306</v>
      </c>
      <c r="Y48" s="8" t="s">
        <v>1290</v>
      </c>
      <c r="Z48" s="8" t="s">
        <v>1278</v>
      </c>
      <c r="AA48" s="12" t="str">
        <f t="shared" si="2"/>
        <v>SYS-CTRL-TRP-CTL-RST</v>
      </c>
    </row>
    <row r="49" spans="1:27" ht="20" customHeight="1" x14ac:dyDescent="0.35">
      <c r="A49" s="6" t="s">
        <v>1250</v>
      </c>
      <c r="B49" s="6" t="s">
        <v>268</v>
      </c>
      <c r="C49" s="13">
        <v>45033</v>
      </c>
      <c r="D49" s="6" t="s">
        <v>270</v>
      </c>
      <c r="E49" s="6" t="s">
        <v>41</v>
      </c>
      <c r="F49" s="6" t="s">
        <v>33</v>
      </c>
      <c r="G49" s="7" t="s">
        <v>116</v>
      </c>
      <c r="H49" s="7" t="s">
        <v>1324</v>
      </c>
      <c r="I49" s="8" t="s">
        <v>1292</v>
      </c>
      <c r="J49" s="8" t="s">
        <v>1293</v>
      </c>
      <c r="K49" s="9">
        <v>45033.913194444453</v>
      </c>
      <c r="L49" s="9">
        <v>45033.923611111109</v>
      </c>
      <c r="M49" s="9">
        <v>45033.944444444453</v>
      </c>
      <c r="N49" s="9">
        <v>45034.167361111111</v>
      </c>
      <c r="O49" s="10">
        <f t="shared" si="0"/>
        <v>5.349999999802094</v>
      </c>
      <c r="P49" s="8">
        <v>0</v>
      </c>
      <c r="Q49" s="8" t="s">
        <v>1263</v>
      </c>
      <c r="R49" s="6" t="s">
        <v>1294</v>
      </c>
      <c r="S49" s="7" t="s">
        <v>1295</v>
      </c>
      <c r="T49" s="8" t="s">
        <v>1256</v>
      </c>
      <c r="U49" s="11">
        <f t="shared" si="1"/>
        <v>0</v>
      </c>
      <c r="V49" s="8" t="s">
        <v>1296</v>
      </c>
      <c r="W49" s="8" t="s">
        <v>1296</v>
      </c>
      <c r="X49" s="8" t="s">
        <v>1296</v>
      </c>
      <c r="Y49" s="8" t="s">
        <v>1296</v>
      </c>
      <c r="Z49" s="8" t="s">
        <v>1312</v>
      </c>
      <c r="AA49" s="12" t="str">
        <f t="shared" si="2"/>
        <v>UNK-UNK-UNK-UNK-REP</v>
      </c>
    </row>
    <row r="50" spans="1:27" ht="20" customHeight="1" x14ac:dyDescent="0.35">
      <c r="A50" s="6" t="s">
        <v>1250</v>
      </c>
      <c r="B50" s="6" t="s">
        <v>273</v>
      </c>
      <c r="C50" s="13">
        <v>45253</v>
      </c>
      <c r="D50" s="6" t="s">
        <v>646</v>
      </c>
      <c r="E50" s="6" t="s">
        <v>41</v>
      </c>
      <c r="F50" s="6" t="s">
        <v>1405</v>
      </c>
      <c r="G50" s="7" t="s">
        <v>276</v>
      </c>
      <c r="H50" s="7" t="s">
        <v>1338</v>
      </c>
      <c r="I50" s="8" t="s">
        <v>1252</v>
      </c>
      <c r="J50" s="8" t="s">
        <v>1252</v>
      </c>
      <c r="K50" s="9">
        <v>45253.172222222223</v>
      </c>
      <c r="L50" s="9">
        <v>45253.182638888888</v>
      </c>
      <c r="M50" s="9">
        <v>45253.203472222223</v>
      </c>
      <c r="N50" s="9">
        <v>45253.417361111111</v>
      </c>
      <c r="O50" s="10">
        <f t="shared" si="0"/>
        <v>5.1333333333022892</v>
      </c>
      <c r="P50" s="8">
        <v>0</v>
      </c>
      <c r="Q50" s="8" t="s">
        <v>1253</v>
      </c>
      <c r="R50" s="6" t="s">
        <v>1299</v>
      </c>
      <c r="S50" s="7" t="s">
        <v>1300</v>
      </c>
      <c r="T50" s="8" t="s">
        <v>1256</v>
      </c>
      <c r="U50" s="11">
        <f t="shared" si="1"/>
        <v>1</v>
      </c>
      <c r="V50" s="8" t="s">
        <v>1301</v>
      </c>
      <c r="W50" s="8" t="s">
        <v>1258</v>
      </c>
      <c r="X50" s="8" t="s">
        <v>1302</v>
      </c>
      <c r="Y50" s="8" t="s">
        <v>1260</v>
      </c>
      <c r="Z50" s="8" t="s">
        <v>1261</v>
      </c>
      <c r="AA50" s="12" t="str">
        <f t="shared" si="2"/>
        <v>BRG-DE-VIB-MEC-INSP</v>
      </c>
    </row>
    <row r="51" spans="1:27" ht="20" customHeight="1" x14ac:dyDescent="0.35">
      <c r="A51" s="6" t="s">
        <v>1250</v>
      </c>
      <c r="B51" s="6" t="s">
        <v>279</v>
      </c>
      <c r="C51" s="13">
        <v>45097</v>
      </c>
      <c r="D51" s="6" t="s">
        <v>281</v>
      </c>
      <c r="E51" s="6" t="s">
        <v>21</v>
      </c>
      <c r="F51" s="6" t="s">
        <v>1406</v>
      </c>
      <c r="G51" s="7" t="s">
        <v>282</v>
      </c>
      <c r="H51" s="7" t="s">
        <v>1339</v>
      </c>
      <c r="I51" s="8" t="s">
        <v>1252</v>
      </c>
      <c r="J51" s="8" t="s">
        <v>1252</v>
      </c>
      <c r="K51" s="9">
        <v>45097.601388888892</v>
      </c>
      <c r="L51" s="9">
        <v>45097.611805555563</v>
      </c>
      <c r="M51" s="9">
        <v>45097.632638888892</v>
      </c>
      <c r="N51" s="9">
        <v>45097.726388888892</v>
      </c>
      <c r="O51" s="10">
        <f t="shared" si="0"/>
        <v>2.25</v>
      </c>
      <c r="P51" s="8">
        <v>0</v>
      </c>
      <c r="Q51" s="8" t="s">
        <v>1253</v>
      </c>
      <c r="R51" s="6" t="s">
        <v>1320</v>
      </c>
      <c r="S51" s="7" t="s">
        <v>1321</v>
      </c>
      <c r="T51" s="8" t="s">
        <v>1266</v>
      </c>
      <c r="U51" s="11">
        <f t="shared" si="1"/>
        <v>1</v>
      </c>
      <c r="V51" s="8" t="s">
        <v>1322</v>
      </c>
      <c r="W51" s="8" t="s">
        <v>1258</v>
      </c>
      <c r="X51" s="8" t="s">
        <v>1323</v>
      </c>
      <c r="Y51" s="8" t="s">
        <v>1260</v>
      </c>
      <c r="Z51" s="8" t="s">
        <v>1261</v>
      </c>
      <c r="AA51" s="12" t="str">
        <f t="shared" si="2"/>
        <v>SEA-DE-LEK-MEC-INSP</v>
      </c>
    </row>
    <row r="52" spans="1:27" ht="20" customHeight="1" x14ac:dyDescent="0.35">
      <c r="A52" s="6" t="s">
        <v>1250</v>
      </c>
      <c r="B52" s="6" t="s">
        <v>284</v>
      </c>
      <c r="C52" s="13">
        <v>45890</v>
      </c>
      <c r="D52" s="6" t="s">
        <v>286</v>
      </c>
      <c r="E52" s="6" t="s">
        <v>47</v>
      </c>
      <c r="F52" s="6" t="s">
        <v>33</v>
      </c>
      <c r="G52" s="7" t="s">
        <v>82</v>
      </c>
      <c r="H52" s="7" t="s">
        <v>1311</v>
      </c>
      <c r="I52" s="8" t="s">
        <v>1292</v>
      </c>
      <c r="J52" s="8" t="s">
        <v>1293</v>
      </c>
      <c r="K52" s="9">
        <v>45890.259722222218</v>
      </c>
      <c r="L52" s="9">
        <v>45890.270138888889</v>
      </c>
      <c r="M52" s="9">
        <v>45890.290972222218</v>
      </c>
      <c r="N52" s="9">
        <v>45890.379861111112</v>
      </c>
      <c r="O52" s="10">
        <f t="shared" si="0"/>
        <v>2.1333333334769122</v>
      </c>
      <c r="P52" s="8">
        <v>0</v>
      </c>
      <c r="Q52" s="8" t="s">
        <v>1253</v>
      </c>
      <c r="R52" s="6" t="s">
        <v>1294</v>
      </c>
      <c r="S52" s="7" t="s">
        <v>1295</v>
      </c>
      <c r="T52" s="8" t="s">
        <v>1256</v>
      </c>
      <c r="U52" s="11">
        <f t="shared" si="1"/>
        <v>0</v>
      </c>
      <c r="V52" s="8" t="s">
        <v>1288</v>
      </c>
      <c r="W52" s="8" t="s">
        <v>1276</v>
      </c>
      <c r="X52" s="8" t="s">
        <v>1289</v>
      </c>
      <c r="Y52" s="8" t="s">
        <v>1290</v>
      </c>
      <c r="Z52" s="8" t="s">
        <v>1312</v>
      </c>
      <c r="AA52" s="12" t="str">
        <f t="shared" si="2"/>
        <v>ACT-CTRL-STK-CTL-REP</v>
      </c>
    </row>
    <row r="53" spans="1:27" ht="20" customHeight="1" x14ac:dyDescent="0.35">
      <c r="A53" s="6" t="s">
        <v>1250</v>
      </c>
      <c r="B53" s="6" t="s">
        <v>289</v>
      </c>
      <c r="C53" s="13">
        <v>44942</v>
      </c>
      <c r="D53" s="6" t="s">
        <v>1340</v>
      </c>
      <c r="E53" s="6" t="s">
        <v>41</v>
      </c>
      <c r="F53" s="6" t="s">
        <v>1406</v>
      </c>
      <c r="G53" s="7" t="s">
        <v>116</v>
      </c>
      <c r="H53" s="7" t="s">
        <v>1324</v>
      </c>
      <c r="I53" s="8" t="s">
        <v>1292</v>
      </c>
      <c r="J53" s="8" t="s">
        <v>1293</v>
      </c>
      <c r="K53" s="9">
        <v>44942.765277777777</v>
      </c>
      <c r="L53" s="9">
        <v>44942.775694444441</v>
      </c>
      <c r="M53" s="9">
        <v>44942.796527777777</v>
      </c>
      <c r="N53" s="9">
        <v>44942.938888888893</v>
      </c>
      <c r="O53" s="10">
        <f t="shared" si="0"/>
        <v>3.4166666668024845</v>
      </c>
      <c r="P53" s="8">
        <v>0</v>
      </c>
      <c r="Q53" s="8" t="s">
        <v>1263</v>
      </c>
      <c r="R53" s="6" t="s">
        <v>1294</v>
      </c>
      <c r="S53" s="7" t="s">
        <v>1295</v>
      </c>
      <c r="T53" s="8" t="s">
        <v>1256</v>
      </c>
      <c r="U53" s="11">
        <f t="shared" si="1"/>
        <v>0</v>
      </c>
      <c r="V53" s="8" t="s">
        <v>1296</v>
      </c>
      <c r="W53" s="8" t="s">
        <v>1296</v>
      </c>
      <c r="X53" s="8" t="s">
        <v>1296</v>
      </c>
      <c r="Y53" s="8" t="s">
        <v>1296</v>
      </c>
      <c r="Z53" s="8" t="s">
        <v>1312</v>
      </c>
      <c r="AA53" s="12" t="str">
        <f t="shared" si="2"/>
        <v>UNK-UNK-UNK-UNK-REP</v>
      </c>
    </row>
    <row r="54" spans="1:27" ht="20" customHeight="1" x14ac:dyDescent="0.35">
      <c r="A54" s="6" t="s">
        <v>1250</v>
      </c>
      <c r="B54" s="6" t="s">
        <v>294</v>
      </c>
      <c r="C54" s="13">
        <v>45221</v>
      </c>
      <c r="D54" s="6" t="s">
        <v>1341</v>
      </c>
      <c r="E54" s="6" t="s">
        <v>47</v>
      </c>
      <c r="F54" s="6" t="s">
        <v>20</v>
      </c>
      <c r="G54" s="7" t="s">
        <v>116</v>
      </c>
      <c r="H54" s="7" t="s">
        <v>1324</v>
      </c>
      <c r="I54" s="8" t="s">
        <v>1292</v>
      </c>
      <c r="J54" s="8" t="s">
        <v>1293</v>
      </c>
      <c r="K54" s="9">
        <v>45221.776388888888</v>
      </c>
      <c r="L54" s="9">
        <v>45221.786805555559</v>
      </c>
      <c r="M54" s="9">
        <v>45221.807638888888</v>
      </c>
      <c r="N54" s="9">
        <v>45221.838888888888</v>
      </c>
      <c r="O54" s="10">
        <f t="shared" si="0"/>
        <v>0.75</v>
      </c>
      <c r="P54" s="8">
        <v>0</v>
      </c>
      <c r="Q54" s="8" t="s">
        <v>1253</v>
      </c>
      <c r="R54" s="6" t="s">
        <v>1294</v>
      </c>
      <c r="S54" s="7" t="s">
        <v>1295</v>
      </c>
      <c r="T54" s="8" t="s">
        <v>1266</v>
      </c>
      <c r="U54" s="11">
        <f t="shared" si="1"/>
        <v>0</v>
      </c>
      <c r="V54" s="8" t="s">
        <v>1296</v>
      </c>
      <c r="W54" s="8" t="s">
        <v>1296</v>
      </c>
      <c r="X54" s="8" t="s">
        <v>1296</v>
      </c>
      <c r="Y54" s="8" t="s">
        <v>1296</v>
      </c>
      <c r="Z54" s="8" t="s">
        <v>1312</v>
      </c>
      <c r="AA54" s="12" t="str">
        <f t="shared" si="2"/>
        <v>UNK-UNK-UNK-UNK-REP</v>
      </c>
    </row>
    <row r="55" spans="1:27" ht="20" customHeight="1" x14ac:dyDescent="0.35">
      <c r="A55" s="6" t="s">
        <v>1250</v>
      </c>
      <c r="B55" s="6" t="s">
        <v>298</v>
      </c>
      <c r="C55" s="13">
        <v>45410</v>
      </c>
      <c r="D55" s="6" t="s">
        <v>300</v>
      </c>
      <c r="E55" s="6" t="s">
        <v>60</v>
      </c>
      <c r="F55" s="6" t="s">
        <v>1405</v>
      </c>
      <c r="G55" s="7" t="s">
        <v>116</v>
      </c>
      <c r="H55" s="7" t="s">
        <v>1324</v>
      </c>
      <c r="I55" s="8" t="s">
        <v>1292</v>
      </c>
      <c r="J55" s="8" t="s">
        <v>1293</v>
      </c>
      <c r="K55" s="9">
        <v>45410.609027777777</v>
      </c>
      <c r="L55" s="9">
        <v>45410.619444444441</v>
      </c>
      <c r="M55" s="9">
        <v>45410.640277777777</v>
      </c>
      <c r="N55" s="9">
        <v>45410.811111111107</v>
      </c>
      <c r="O55" s="10">
        <f t="shared" si="0"/>
        <v>4.0999999999185093</v>
      </c>
      <c r="P55" s="8">
        <v>0</v>
      </c>
      <c r="Q55" s="8" t="s">
        <v>1253</v>
      </c>
      <c r="R55" s="6" t="s">
        <v>1294</v>
      </c>
      <c r="S55" s="7" t="s">
        <v>1295</v>
      </c>
      <c r="T55" s="8" t="s">
        <v>1256</v>
      </c>
      <c r="U55" s="11">
        <f t="shared" si="1"/>
        <v>0</v>
      </c>
      <c r="V55" s="8" t="s">
        <v>1296</v>
      </c>
      <c r="W55" s="8" t="s">
        <v>1296</v>
      </c>
      <c r="X55" s="8" t="s">
        <v>1296</v>
      </c>
      <c r="Y55" s="8" t="s">
        <v>1296</v>
      </c>
      <c r="Z55" s="8" t="s">
        <v>1312</v>
      </c>
      <c r="AA55" s="12" t="str">
        <f t="shared" si="2"/>
        <v>UNK-UNK-UNK-UNK-REP</v>
      </c>
    </row>
    <row r="56" spans="1:27" ht="20" customHeight="1" x14ac:dyDescent="0.35">
      <c r="A56" s="6" t="s">
        <v>1250</v>
      </c>
      <c r="B56" s="6" t="s">
        <v>303</v>
      </c>
      <c r="C56" s="13">
        <v>45813</v>
      </c>
      <c r="D56" s="6" t="s">
        <v>1173</v>
      </c>
      <c r="E56" s="6" t="s">
        <v>47</v>
      </c>
      <c r="F56" s="6" t="s">
        <v>1408</v>
      </c>
      <c r="G56" s="7" t="s">
        <v>82</v>
      </c>
      <c r="H56" s="7" t="s">
        <v>1311</v>
      </c>
      <c r="I56" s="8" t="s">
        <v>1292</v>
      </c>
      <c r="J56" s="8" t="s">
        <v>1293</v>
      </c>
      <c r="K56" s="9">
        <v>45813.206944444442</v>
      </c>
      <c r="L56" s="9">
        <v>45813.217361111107</v>
      </c>
      <c r="M56" s="9">
        <v>45813.238194444442</v>
      </c>
      <c r="N56" s="9">
        <v>45813.681250000001</v>
      </c>
      <c r="O56" s="10">
        <f t="shared" si="0"/>
        <v>10.633333333418705</v>
      </c>
      <c r="P56" s="8">
        <v>0</v>
      </c>
      <c r="Q56" s="8" t="s">
        <v>1263</v>
      </c>
      <c r="R56" s="6" t="s">
        <v>1294</v>
      </c>
      <c r="S56" s="7" t="s">
        <v>1295</v>
      </c>
      <c r="T56" s="8" t="s">
        <v>1256</v>
      </c>
      <c r="U56" s="11">
        <f t="shared" si="1"/>
        <v>0</v>
      </c>
      <c r="V56" s="8" t="s">
        <v>1296</v>
      </c>
      <c r="W56" s="8" t="s">
        <v>1296</v>
      </c>
      <c r="X56" s="8" t="s">
        <v>1296</v>
      </c>
      <c r="Y56" s="8" t="s">
        <v>1296</v>
      </c>
      <c r="Z56" s="8" t="s">
        <v>1312</v>
      </c>
      <c r="AA56" s="12" t="str">
        <f t="shared" si="2"/>
        <v>UNK-UNK-UNK-UNK-REP</v>
      </c>
    </row>
    <row r="57" spans="1:27" ht="20" customHeight="1" x14ac:dyDescent="0.35">
      <c r="A57" s="6" t="s">
        <v>1250</v>
      </c>
      <c r="B57" s="6" t="s">
        <v>307</v>
      </c>
      <c r="C57" s="13">
        <v>45102</v>
      </c>
      <c r="D57" s="6" t="s">
        <v>147</v>
      </c>
      <c r="E57" s="6" t="s">
        <v>21</v>
      </c>
      <c r="F57" s="6" t="s">
        <v>1405</v>
      </c>
      <c r="G57" s="7" t="s">
        <v>121</v>
      </c>
      <c r="H57" s="7" t="s">
        <v>1325</v>
      </c>
      <c r="I57" s="8" t="s">
        <v>1292</v>
      </c>
      <c r="J57" s="8" t="s">
        <v>1293</v>
      </c>
      <c r="K57" s="9">
        <v>45102.333333333343</v>
      </c>
      <c r="L57" s="9">
        <v>45102.34375</v>
      </c>
      <c r="M57" s="9">
        <v>45102.364583333343</v>
      </c>
      <c r="N57" s="9">
        <v>45102.395833333343</v>
      </c>
      <c r="O57" s="10">
        <f t="shared" si="0"/>
        <v>0.75</v>
      </c>
      <c r="P57" s="8">
        <v>0</v>
      </c>
      <c r="Q57" s="8" t="s">
        <v>1253</v>
      </c>
      <c r="R57" s="6" t="s">
        <v>1294</v>
      </c>
      <c r="S57" s="7" t="s">
        <v>1295</v>
      </c>
      <c r="T57" s="8" t="s">
        <v>1266</v>
      </c>
      <c r="U57" s="11">
        <f t="shared" si="1"/>
        <v>0</v>
      </c>
      <c r="V57" s="8" t="s">
        <v>1296</v>
      </c>
      <c r="W57" s="8" t="s">
        <v>1296</v>
      </c>
      <c r="X57" s="8" t="s">
        <v>1296</v>
      </c>
      <c r="Y57" s="8" t="s">
        <v>1296</v>
      </c>
      <c r="Z57" s="8" t="s">
        <v>1261</v>
      </c>
      <c r="AA57" s="12" t="str">
        <f t="shared" si="2"/>
        <v>UNK-UNK-UNK-UNK-INSP</v>
      </c>
    </row>
    <row r="58" spans="1:27" ht="20" customHeight="1" x14ac:dyDescent="0.35">
      <c r="A58" s="6" t="s">
        <v>1250</v>
      </c>
      <c r="B58" s="6" t="s">
        <v>311</v>
      </c>
      <c r="C58" s="13">
        <v>45971</v>
      </c>
      <c r="D58" s="6" t="s">
        <v>596</v>
      </c>
      <c r="E58" s="6" t="s">
        <v>41</v>
      </c>
      <c r="F58" s="6" t="s">
        <v>33</v>
      </c>
      <c r="G58" s="7" t="s">
        <v>313</v>
      </c>
      <c r="H58" s="7" t="s">
        <v>1342</v>
      </c>
      <c r="I58" s="8" t="s">
        <v>1252</v>
      </c>
      <c r="J58" s="8" t="s">
        <v>1252</v>
      </c>
      <c r="K58" s="9">
        <v>45971.787499999999</v>
      </c>
      <c r="L58" s="9">
        <v>45971.79791666667</v>
      </c>
      <c r="M58" s="9">
        <v>45971.818749999999</v>
      </c>
      <c r="N58" s="9">
        <v>45971.890277777777</v>
      </c>
      <c r="O58" s="10">
        <f t="shared" si="0"/>
        <v>1.7166666666744277</v>
      </c>
      <c r="P58" s="8">
        <v>0</v>
      </c>
      <c r="Q58" s="8" t="s">
        <v>1263</v>
      </c>
      <c r="R58" s="6" t="s">
        <v>1280</v>
      </c>
      <c r="S58" s="7" t="s">
        <v>1281</v>
      </c>
      <c r="T58" s="8" t="s">
        <v>1256</v>
      </c>
      <c r="U58" s="11">
        <f t="shared" si="1"/>
        <v>1</v>
      </c>
      <c r="V58" s="8" t="s">
        <v>1282</v>
      </c>
      <c r="W58" s="8" t="s">
        <v>1276</v>
      </c>
      <c r="X58" s="8" t="s">
        <v>1269</v>
      </c>
      <c r="Y58" s="8" t="s">
        <v>1275</v>
      </c>
      <c r="Z58" s="8" t="s">
        <v>1326</v>
      </c>
      <c r="AA58" s="12" t="str">
        <f t="shared" si="2"/>
        <v>IMP-CTRL-BLK-INS-CLN</v>
      </c>
    </row>
    <row r="59" spans="1:27" ht="20" customHeight="1" x14ac:dyDescent="0.35">
      <c r="A59" s="6" t="s">
        <v>1250</v>
      </c>
      <c r="B59" s="6" t="s">
        <v>316</v>
      </c>
      <c r="C59" s="13">
        <v>44980</v>
      </c>
      <c r="D59" s="6" t="s">
        <v>633</v>
      </c>
      <c r="E59" s="6" t="s">
        <v>60</v>
      </c>
      <c r="F59" s="6" t="s">
        <v>1405</v>
      </c>
      <c r="G59" s="7" t="s">
        <v>319</v>
      </c>
      <c r="H59" s="7" t="s">
        <v>1283</v>
      </c>
      <c r="I59" s="8" t="s">
        <v>1284</v>
      </c>
      <c r="J59" s="8" t="s">
        <v>1285</v>
      </c>
      <c r="K59" s="9">
        <v>44980.333333333343</v>
      </c>
      <c r="L59" s="9">
        <v>44980.333333333343</v>
      </c>
      <c r="M59" s="9">
        <v>44980.333333333343</v>
      </c>
      <c r="N59" s="9">
        <v>44980.395833333343</v>
      </c>
      <c r="O59" s="10">
        <f t="shared" si="0"/>
        <v>1.5</v>
      </c>
      <c r="P59" s="8">
        <v>1</v>
      </c>
      <c r="Q59" s="8" t="s">
        <v>1263</v>
      </c>
      <c r="R59" s="6" t="s">
        <v>1286</v>
      </c>
      <c r="S59" s="7" t="s">
        <v>1287</v>
      </c>
      <c r="T59" s="8" t="s">
        <v>1266</v>
      </c>
      <c r="U59" s="11">
        <f t="shared" si="1"/>
        <v>0</v>
      </c>
      <c r="V59" s="8" t="s">
        <v>1296</v>
      </c>
      <c r="W59" s="8" t="s">
        <v>1296</v>
      </c>
      <c r="X59" s="8" t="s">
        <v>1296</v>
      </c>
      <c r="Y59" s="8" t="s">
        <v>1296</v>
      </c>
      <c r="Z59" s="8" t="s">
        <v>1284</v>
      </c>
      <c r="AA59" s="12" t="str">
        <f t="shared" si="2"/>
        <v>UNK-UNK-UNK-UNK-PM</v>
      </c>
    </row>
    <row r="60" spans="1:27" ht="20" customHeight="1" x14ac:dyDescent="0.35">
      <c r="A60" s="6" t="s">
        <v>1250</v>
      </c>
      <c r="B60" s="6" t="s">
        <v>321</v>
      </c>
      <c r="C60" s="13">
        <v>45302</v>
      </c>
      <c r="D60" s="6" t="s">
        <v>323</v>
      </c>
      <c r="E60" s="6" t="s">
        <v>14</v>
      </c>
      <c r="F60" s="6" t="s">
        <v>33</v>
      </c>
      <c r="G60" s="7" t="s">
        <v>324</v>
      </c>
      <c r="H60" s="7" t="s">
        <v>1343</v>
      </c>
      <c r="I60" s="8" t="s">
        <v>1252</v>
      </c>
      <c r="J60" s="8" t="s">
        <v>1252</v>
      </c>
      <c r="K60" s="9">
        <v>45302.133333333331</v>
      </c>
      <c r="L60" s="9">
        <v>45302.143750000003</v>
      </c>
      <c r="M60" s="9">
        <v>45302.164583333331</v>
      </c>
      <c r="N60" s="9">
        <v>45302.258333333331</v>
      </c>
      <c r="O60" s="10">
        <f t="shared" si="0"/>
        <v>2.25</v>
      </c>
      <c r="P60" s="8">
        <v>0</v>
      </c>
      <c r="Q60" s="8" t="s">
        <v>1263</v>
      </c>
      <c r="R60" s="6" t="s">
        <v>1299</v>
      </c>
      <c r="S60" s="7" t="s">
        <v>1300</v>
      </c>
      <c r="T60" s="8" t="s">
        <v>1256</v>
      </c>
      <c r="U60" s="11">
        <f t="shared" si="1"/>
        <v>1</v>
      </c>
      <c r="V60" s="8" t="s">
        <v>1301</v>
      </c>
      <c r="W60" s="8" t="s">
        <v>1258</v>
      </c>
      <c r="X60" s="8" t="s">
        <v>1302</v>
      </c>
      <c r="Y60" s="8" t="s">
        <v>1260</v>
      </c>
      <c r="Z60" s="8" t="s">
        <v>1261</v>
      </c>
      <c r="AA60" s="12" t="str">
        <f t="shared" si="2"/>
        <v>BRG-DE-VIB-MEC-INSP</v>
      </c>
    </row>
    <row r="61" spans="1:27" ht="20" customHeight="1" x14ac:dyDescent="0.35">
      <c r="A61" s="6" t="s">
        <v>1250</v>
      </c>
      <c r="B61" s="6" t="s">
        <v>327</v>
      </c>
      <c r="C61" s="13">
        <v>45100</v>
      </c>
      <c r="D61" s="6" t="s">
        <v>329</v>
      </c>
      <c r="E61" s="6" t="s">
        <v>34</v>
      </c>
      <c r="F61" s="6" t="s">
        <v>144</v>
      </c>
      <c r="G61" s="7" t="s">
        <v>204</v>
      </c>
      <c r="H61" s="7" t="s">
        <v>1331</v>
      </c>
      <c r="I61" s="8" t="s">
        <v>1292</v>
      </c>
      <c r="J61" s="8" t="s">
        <v>1293</v>
      </c>
      <c r="K61" s="9">
        <v>45100.464583333327</v>
      </c>
      <c r="L61" s="9">
        <v>45100.474999999999</v>
      </c>
      <c r="M61" s="9">
        <v>45100.495833333327</v>
      </c>
      <c r="N61" s="9">
        <v>45100.527083333327</v>
      </c>
      <c r="O61" s="10">
        <f t="shared" si="0"/>
        <v>0.75</v>
      </c>
      <c r="P61" s="8">
        <v>0</v>
      </c>
      <c r="Q61" s="8" t="s">
        <v>1253</v>
      </c>
      <c r="R61" s="6" t="s">
        <v>1294</v>
      </c>
      <c r="S61" s="7" t="s">
        <v>1295</v>
      </c>
      <c r="T61" s="8" t="s">
        <v>1266</v>
      </c>
      <c r="U61" s="11">
        <f t="shared" si="1"/>
        <v>0</v>
      </c>
      <c r="V61" s="8" t="s">
        <v>1296</v>
      </c>
      <c r="W61" s="8" t="s">
        <v>1296</v>
      </c>
      <c r="X61" s="8" t="s">
        <v>1296</v>
      </c>
      <c r="Y61" s="8" t="s">
        <v>1296</v>
      </c>
      <c r="Z61" s="8" t="s">
        <v>1297</v>
      </c>
      <c r="AA61" s="12" t="str">
        <f t="shared" si="2"/>
        <v>UNK-UNK-UNK-UNK-ADJ</v>
      </c>
    </row>
    <row r="62" spans="1:27" ht="20" customHeight="1" x14ac:dyDescent="0.35">
      <c r="A62" s="6" t="s">
        <v>1250</v>
      </c>
      <c r="B62" s="6" t="s">
        <v>331</v>
      </c>
      <c r="C62" s="13">
        <v>45155</v>
      </c>
      <c r="D62" s="6" t="s">
        <v>203</v>
      </c>
      <c r="E62" s="6" t="s">
        <v>207</v>
      </c>
      <c r="F62" s="6" t="s">
        <v>20</v>
      </c>
      <c r="G62" s="7" t="s">
        <v>82</v>
      </c>
      <c r="H62" s="7" t="s">
        <v>1311</v>
      </c>
      <c r="I62" s="8" t="s">
        <v>1292</v>
      </c>
      <c r="J62" s="8" t="s">
        <v>1293</v>
      </c>
      <c r="K62" s="9">
        <v>45155.984027777777</v>
      </c>
      <c r="L62" s="9">
        <v>45155.994444444441</v>
      </c>
      <c r="M62" s="9">
        <v>45156.015277777777</v>
      </c>
      <c r="N62" s="9">
        <v>45156.138194444437</v>
      </c>
      <c r="O62" s="10">
        <f t="shared" si="0"/>
        <v>2.9499999998370185</v>
      </c>
      <c r="P62" s="8">
        <v>0</v>
      </c>
      <c r="Q62" s="8" t="s">
        <v>1263</v>
      </c>
      <c r="R62" s="6" t="s">
        <v>1294</v>
      </c>
      <c r="S62" s="7" t="s">
        <v>1295</v>
      </c>
      <c r="T62" s="8" t="s">
        <v>1256</v>
      </c>
      <c r="U62" s="11">
        <f t="shared" si="1"/>
        <v>0</v>
      </c>
      <c r="V62" s="8" t="s">
        <v>1275</v>
      </c>
      <c r="W62" s="8" t="s">
        <v>1276</v>
      </c>
      <c r="X62" s="8" t="s">
        <v>1277</v>
      </c>
      <c r="Y62" s="8" t="s">
        <v>1275</v>
      </c>
      <c r="Z62" s="8" t="s">
        <v>1312</v>
      </c>
      <c r="AA62" s="12" t="str">
        <f t="shared" si="2"/>
        <v>INS-CTRL-DRF-INS-REP</v>
      </c>
    </row>
    <row r="63" spans="1:27" ht="20" customHeight="1" x14ac:dyDescent="0.35">
      <c r="A63" s="6" t="s">
        <v>1250</v>
      </c>
      <c r="B63" s="6" t="s">
        <v>335</v>
      </c>
      <c r="C63" s="13">
        <v>45269</v>
      </c>
      <c r="D63" s="6" t="s">
        <v>516</v>
      </c>
      <c r="E63" s="6" t="s">
        <v>41</v>
      </c>
      <c r="F63" s="6" t="s">
        <v>1406</v>
      </c>
      <c r="G63" s="7" t="s">
        <v>82</v>
      </c>
      <c r="H63" s="7" t="s">
        <v>1311</v>
      </c>
      <c r="I63" s="8" t="s">
        <v>1292</v>
      </c>
      <c r="J63" s="8" t="s">
        <v>1293</v>
      </c>
      <c r="K63" s="9">
        <v>45269.197222222218</v>
      </c>
      <c r="L63" s="9">
        <v>45269.207638888889</v>
      </c>
      <c r="M63" s="9">
        <v>45269.228472222218</v>
      </c>
      <c r="N63" s="9">
        <v>45269.395138888889</v>
      </c>
      <c r="O63" s="10">
        <f t="shared" si="0"/>
        <v>4.0000000001164153</v>
      </c>
      <c r="P63" s="8">
        <v>0</v>
      </c>
      <c r="Q63" s="8" t="s">
        <v>1253</v>
      </c>
      <c r="R63" s="6" t="s">
        <v>1294</v>
      </c>
      <c r="S63" s="7" t="s">
        <v>1295</v>
      </c>
      <c r="T63" s="8" t="s">
        <v>1256</v>
      </c>
      <c r="U63" s="11">
        <f t="shared" si="1"/>
        <v>0</v>
      </c>
      <c r="V63" s="8" t="s">
        <v>1288</v>
      </c>
      <c r="W63" s="8" t="s">
        <v>1276</v>
      </c>
      <c r="X63" s="8" t="s">
        <v>1289</v>
      </c>
      <c r="Y63" s="8" t="s">
        <v>1290</v>
      </c>
      <c r="Z63" s="8" t="s">
        <v>1312</v>
      </c>
      <c r="AA63" s="12" t="str">
        <f t="shared" si="2"/>
        <v>ACT-CTRL-STK-CTL-REP</v>
      </c>
    </row>
    <row r="64" spans="1:27" ht="20" customHeight="1" x14ac:dyDescent="0.35">
      <c r="A64" s="6" t="s">
        <v>1250</v>
      </c>
      <c r="B64" s="6" t="s">
        <v>340</v>
      </c>
      <c r="C64" s="13">
        <v>45704</v>
      </c>
      <c r="D64" s="6" t="s">
        <v>342</v>
      </c>
      <c r="E64" s="6" t="s">
        <v>47</v>
      </c>
      <c r="F64" s="6" t="s">
        <v>33</v>
      </c>
      <c r="G64" s="7" t="s">
        <v>116</v>
      </c>
      <c r="H64" s="7" t="s">
        <v>1324</v>
      </c>
      <c r="I64" s="8" t="s">
        <v>1292</v>
      </c>
      <c r="J64" s="8" t="s">
        <v>1293</v>
      </c>
      <c r="K64" s="9">
        <v>45704.513194444437</v>
      </c>
      <c r="L64" s="9">
        <v>45704.523611111108</v>
      </c>
      <c r="M64" s="9">
        <v>45704.544444444437</v>
      </c>
      <c r="N64" s="9">
        <v>45704.887499999997</v>
      </c>
      <c r="O64" s="10">
        <f t="shared" si="0"/>
        <v>8.2333333334536292</v>
      </c>
      <c r="P64" s="8">
        <v>0</v>
      </c>
      <c r="Q64" s="8" t="s">
        <v>1263</v>
      </c>
      <c r="R64" s="6" t="s">
        <v>1294</v>
      </c>
      <c r="S64" s="7" t="s">
        <v>1295</v>
      </c>
      <c r="T64" s="8" t="s">
        <v>1256</v>
      </c>
      <c r="U64" s="11">
        <f t="shared" si="1"/>
        <v>0</v>
      </c>
      <c r="V64" s="8" t="s">
        <v>1296</v>
      </c>
      <c r="W64" s="8" t="s">
        <v>1296</v>
      </c>
      <c r="X64" s="8" t="s">
        <v>1296</v>
      </c>
      <c r="Y64" s="8" t="s">
        <v>1296</v>
      </c>
      <c r="Z64" s="8" t="s">
        <v>1312</v>
      </c>
      <c r="AA64" s="12" t="str">
        <f t="shared" si="2"/>
        <v>UNK-UNK-UNK-UNK-REP</v>
      </c>
    </row>
    <row r="65" spans="1:27" ht="20" customHeight="1" x14ac:dyDescent="0.35">
      <c r="A65" s="6" t="s">
        <v>1250</v>
      </c>
      <c r="B65" s="6" t="s">
        <v>345</v>
      </c>
      <c r="C65" s="13">
        <v>45550</v>
      </c>
      <c r="D65" s="6" t="s">
        <v>347</v>
      </c>
      <c r="E65" s="6" t="s">
        <v>41</v>
      </c>
      <c r="F65" s="6" t="s">
        <v>1408</v>
      </c>
      <c r="G65" s="7" t="s">
        <v>348</v>
      </c>
      <c r="H65" s="7" t="s">
        <v>1344</v>
      </c>
      <c r="I65" s="8" t="s">
        <v>1252</v>
      </c>
      <c r="J65" s="8" t="s">
        <v>1252</v>
      </c>
      <c r="K65" s="9">
        <v>45550.5625</v>
      </c>
      <c r="L65" s="9">
        <v>45550.572916666657</v>
      </c>
      <c r="M65" s="9">
        <v>45550.59375</v>
      </c>
      <c r="N65" s="9">
        <v>45550.763194444437</v>
      </c>
      <c r="O65" s="10">
        <f t="shared" si="0"/>
        <v>4.0666666664765216</v>
      </c>
      <c r="P65" s="8">
        <v>0</v>
      </c>
      <c r="Q65" s="8" t="s">
        <v>1253</v>
      </c>
      <c r="R65" s="6" t="s">
        <v>1345</v>
      </c>
      <c r="S65" s="7" t="s">
        <v>1346</v>
      </c>
      <c r="T65" s="8" t="s">
        <v>1256</v>
      </c>
      <c r="U65" s="11">
        <f t="shared" si="1"/>
        <v>1</v>
      </c>
      <c r="V65" s="8" t="s">
        <v>1347</v>
      </c>
      <c r="W65" s="8" t="s">
        <v>1348</v>
      </c>
      <c r="X65" s="8" t="s">
        <v>1349</v>
      </c>
      <c r="Y65" s="8" t="s">
        <v>1350</v>
      </c>
      <c r="Z65" s="8" t="s">
        <v>1312</v>
      </c>
      <c r="AA65" s="12" t="str">
        <f t="shared" si="2"/>
        <v>MOT-ELEC-OHT-ELC-REP</v>
      </c>
    </row>
    <row r="66" spans="1:27" ht="20" customHeight="1" x14ac:dyDescent="0.35">
      <c r="A66" s="6" t="s">
        <v>1250</v>
      </c>
      <c r="B66" s="6" t="s">
        <v>351</v>
      </c>
      <c r="C66" s="13">
        <v>45874</v>
      </c>
      <c r="D66" s="6" t="s">
        <v>353</v>
      </c>
      <c r="E66" s="6" t="s">
        <v>60</v>
      </c>
      <c r="F66" s="6" t="s">
        <v>20</v>
      </c>
      <c r="G66" s="7" t="s">
        <v>232</v>
      </c>
      <c r="H66" s="7" t="s">
        <v>1334</v>
      </c>
      <c r="I66" s="8" t="s">
        <v>1252</v>
      </c>
      <c r="J66" s="8" t="s">
        <v>1252</v>
      </c>
      <c r="K66" s="9">
        <v>45874.497916666667</v>
      </c>
      <c r="L66" s="9">
        <v>45874.508333333331</v>
      </c>
      <c r="M66" s="9">
        <v>45874.529166666667</v>
      </c>
      <c r="N66" s="9">
        <v>45874.581944444442</v>
      </c>
      <c r="O66" s="10">
        <f t="shared" ref="O66:O129" si="3">IF(AND(N66&lt;&gt;"",M66&lt;&gt;""),(N66-M66)*24,"")</f>
        <v>1.2666666666045785</v>
      </c>
      <c r="P66" s="8">
        <v>0</v>
      </c>
      <c r="Q66" s="8" t="s">
        <v>1253</v>
      </c>
      <c r="R66" s="6" t="s">
        <v>1280</v>
      </c>
      <c r="S66" s="7" t="s">
        <v>1281</v>
      </c>
      <c r="T66" s="8" t="s">
        <v>1256</v>
      </c>
      <c r="U66" s="11">
        <f t="shared" ref="U66:U129" si="4">IF(OR(I66="FAILURE",I66="TRIP"),1,0)</f>
        <v>1</v>
      </c>
      <c r="V66" s="8" t="s">
        <v>1282</v>
      </c>
      <c r="W66" s="8" t="s">
        <v>1276</v>
      </c>
      <c r="X66" s="8" t="s">
        <v>1269</v>
      </c>
      <c r="Y66" s="8" t="s">
        <v>1275</v>
      </c>
      <c r="Z66" s="8" t="s">
        <v>1261</v>
      </c>
      <c r="AA66" s="12" t="str">
        <f t="shared" ref="AA66:AA129" si="5">IF(V66="","",V66&amp;"-"&amp;W66&amp;"-"&amp;X66&amp;"-"&amp;Y66&amp;"-"&amp;Z66)</f>
        <v>IMP-CTRL-BLK-INS-INSP</v>
      </c>
    </row>
    <row r="67" spans="1:27" ht="20" customHeight="1" x14ac:dyDescent="0.35">
      <c r="A67" s="6" t="s">
        <v>1250</v>
      </c>
      <c r="B67" s="6" t="s">
        <v>356</v>
      </c>
      <c r="C67" s="13">
        <v>45896</v>
      </c>
      <c r="D67" s="6" t="s">
        <v>358</v>
      </c>
      <c r="E67" s="6" t="s">
        <v>47</v>
      </c>
      <c r="F67" s="6" t="s">
        <v>20</v>
      </c>
      <c r="G67" s="7" t="s">
        <v>359</v>
      </c>
      <c r="H67" s="7" t="s">
        <v>1351</v>
      </c>
      <c r="I67" s="8" t="s">
        <v>1292</v>
      </c>
      <c r="J67" s="8" t="s">
        <v>1293</v>
      </c>
      <c r="K67" s="9">
        <v>45896.24722222222</v>
      </c>
      <c r="L67" s="9">
        <v>45896.257638888892</v>
      </c>
      <c r="M67" s="9">
        <v>45896.27847222222</v>
      </c>
      <c r="N67" s="9">
        <v>45896.50277777778</v>
      </c>
      <c r="O67" s="10">
        <f t="shared" si="3"/>
        <v>5.3833333334187046</v>
      </c>
      <c r="P67" s="8">
        <v>0</v>
      </c>
      <c r="Q67" s="8" t="s">
        <v>1263</v>
      </c>
      <c r="R67" s="6" t="s">
        <v>1294</v>
      </c>
      <c r="S67" s="7" t="s">
        <v>1295</v>
      </c>
      <c r="T67" s="8" t="s">
        <v>1256</v>
      </c>
      <c r="U67" s="11">
        <f t="shared" si="4"/>
        <v>0</v>
      </c>
      <c r="V67" s="8" t="s">
        <v>1296</v>
      </c>
      <c r="W67" s="8" t="s">
        <v>1296</v>
      </c>
      <c r="X67" s="8" t="s">
        <v>1296</v>
      </c>
      <c r="Y67" s="8" t="s">
        <v>1296</v>
      </c>
      <c r="Z67" s="8" t="s">
        <v>1261</v>
      </c>
      <c r="AA67" s="12" t="str">
        <f t="shared" si="5"/>
        <v>UNK-UNK-UNK-UNK-INSP</v>
      </c>
    </row>
    <row r="68" spans="1:27" ht="20" customHeight="1" x14ac:dyDescent="0.35">
      <c r="A68" s="6" t="s">
        <v>1250</v>
      </c>
      <c r="B68" s="6" t="s">
        <v>362</v>
      </c>
      <c r="C68" s="13">
        <v>45771</v>
      </c>
      <c r="D68" s="6" t="s">
        <v>29</v>
      </c>
      <c r="E68" s="6" t="s">
        <v>34</v>
      </c>
      <c r="F68" s="6" t="s">
        <v>1408</v>
      </c>
      <c r="G68" s="7" t="s">
        <v>116</v>
      </c>
      <c r="H68" s="7" t="s">
        <v>1324</v>
      </c>
      <c r="I68" s="8" t="s">
        <v>1292</v>
      </c>
      <c r="J68" s="8" t="s">
        <v>1293</v>
      </c>
      <c r="K68" s="9">
        <v>45771.330555555563</v>
      </c>
      <c r="L68" s="9">
        <v>45771.34097222222</v>
      </c>
      <c r="M68" s="9">
        <v>45771.361805555563</v>
      </c>
      <c r="N68" s="9">
        <v>45771.526388888888</v>
      </c>
      <c r="O68" s="10">
        <f t="shared" si="3"/>
        <v>3.9499999997788109</v>
      </c>
      <c r="P68" s="8">
        <v>0</v>
      </c>
      <c r="Q68" s="8" t="s">
        <v>1263</v>
      </c>
      <c r="R68" s="6" t="s">
        <v>1294</v>
      </c>
      <c r="S68" s="7" t="s">
        <v>1295</v>
      </c>
      <c r="T68" s="8" t="s">
        <v>1256</v>
      </c>
      <c r="U68" s="11">
        <f t="shared" si="4"/>
        <v>0</v>
      </c>
      <c r="V68" s="8" t="s">
        <v>1275</v>
      </c>
      <c r="W68" s="8" t="s">
        <v>1276</v>
      </c>
      <c r="X68" s="8" t="s">
        <v>1277</v>
      </c>
      <c r="Y68" s="8" t="s">
        <v>1275</v>
      </c>
      <c r="Z68" s="8" t="s">
        <v>1312</v>
      </c>
      <c r="AA68" s="12" t="str">
        <f t="shared" si="5"/>
        <v>INS-CTRL-DRF-INS-REP</v>
      </c>
    </row>
    <row r="69" spans="1:27" ht="20" customHeight="1" x14ac:dyDescent="0.35">
      <c r="A69" s="6" t="s">
        <v>1250</v>
      </c>
      <c r="B69" s="6" t="s">
        <v>367</v>
      </c>
      <c r="C69" s="13">
        <v>45784</v>
      </c>
      <c r="D69" s="6" t="s">
        <v>358</v>
      </c>
      <c r="E69" s="6" t="s">
        <v>47</v>
      </c>
      <c r="F69" s="6" t="s">
        <v>1407</v>
      </c>
      <c r="G69" s="7" t="s">
        <v>370</v>
      </c>
      <c r="H69" s="7" t="s">
        <v>1283</v>
      </c>
      <c r="I69" s="8" t="s">
        <v>1284</v>
      </c>
      <c r="J69" s="8" t="s">
        <v>1285</v>
      </c>
      <c r="K69" s="9">
        <v>45784.375</v>
      </c>
      <c r="L69" s="9">
        <v>45784.375</v>
      </c>
      <c r="M69" s="9">
        <v>45784.375</v>
      </c>
      <c r="N69" s="9">
        <v>45784.4375</v>
      </c>
      <c r="O69" s="10">
        <f t="shared" si="3"/>
        <v>1.5</v>
      </c>
      <c r="P69" s="8">
        <v>1</v>
      </c>
      <c r="Q69" s="8" t="s">
        <v>1263</v>
      </c>
      <c r="R69" s="6" t="s">
        <v>1286</v>
      </c>
      <c r="S69" s="7" t="s">
        <v>1287</v>
      </c>
      <c r="T69" s="8" t="s">
        <v>1266</v>
      </c>
      <c r="U69" s="11">
        <f t="shared" si="4"/>
        <v>0</v>
      </c>
      <c r="V69" s="8" t="s">
        <v>1296</v>
      </c>
      <c r="W69" s="8" t="s">
        <v>1296</v>
      </c>
      <c r="X69" s="8" t="s">
        <v>1296</v>
      </c>
      <c r="Y69" s="8" t="s">
        <v>1296</v>
      </c>
      <c r="Z69" s="8" t="s">
        <v>1284</v>
      </c>
      <c r="AA69" s="12" t="str">
        <f t="shared" si="5"/>
        <v>UNK-UNK-UNK-UNK-PM</v>
      </c>
    </row>
    <row r="70" spans="1:27" ht="20" customHeight="1" x14ac:dyDescent="0.35">
      <c r="A70" s="6" t="s">
        <v>1250</v>
      </c>
      <c r="B70" s="6" t="s">
        <v>372</v>
      </c>
      <c r="C70" s="13">
        <v>45423</v>
      </c>
      <c r="D70" s="6" t="s">
        <v>1332</v>
      </c>
      <c r="E70" s="6" t="s">
        <v>41</v>
      </c>
      <c r="F70" s="6" t="s">
        <v>20</v>
      </c>
      <c r="G70" s="7" t="s">
        <v>116</v>
      </c>
      <c r="H70" s="7" t="s">
        <v>1324</v>
      </c>
      <c r="I70" s="8" t="s">
        <v>1292</v>
      </c>
      <c r="J70" s="8" t="s">
        <v>1293</v>
      </c>
      <c r="K70" s="9">
        <v>45423.356249999997</v>
      </c>
      <c r="L70" s="9">
        <v>45423.366666666669</v>
      </c>
      <c r="M70" s="9">
        <v>45423.387499999997</v>
      </c>
      <c r="N70" s="9">
        <v>45423.532638888893</v>
      </c>
      <c r="O70" s="10">
        <f t="shared" si="3"/>
        <v>3.4833333335118368</v>
      </c>
      <c r="P70" s="8">
        <v>0</v>
      </c>
      <c r="Q70" s="8" t="s">
        <v>1253</v>
      </c>
      <c r="R70" s="6" t="s">
        <v>1294</v>
      </c>
      <c r="S70" s="7" t="s">
        <v>1295</v>
      </c>
      <c r="T70" s="8" t="s">
        <v>1256</v>
      </c>
      <c r="U70" s="11">
        <f t="shared" si="4"/>
        <v>0</v>
      </c>
      <c r="V70" s="8" t="s">
        <v>1296</v>
      </c>
      <c r="W70" s="8" t="s">
        <v>1296</v>
      </c>
      <c r="X70" s="8" t="s">
        <v>1296</v>
      </c>
      <c r="Y70" s="8" t="s">
        <v>1296</v>
      </c>
      <c r="Z70" s="8" t="s">
        <v>1312</v>
      </c>
      <c r="AA70" s="12" t="str">
        <f t="shared" si="5"/>
        <v>UNK-UNK-UNK-UNK-REP</v>
      </c>
    </row>
    <row r="71" spans="1:27" ht="20" customHeight="1" x14ac:dyDescent="0.35">
      <c r="A71" s="6" t="s">
        <v>1250</v>
      </c>
      <c r="B71" s="6" t="s">
        <v>376</v>
      </c>
      <c r="C71" s="13">
        <v>45068</v>
      </c>
      <c r="D71" s="6" t="s">
        <v>270</v>
      </c>
      <c r="E71" s="6" t="s">
        <v>41</v>
      </c>
      <c r="F71" s="6" t="s">
        <v>1407</v>
      </c>
      <c r="G71" s="7" t="s">
        <v>378</v>
      </c>
      <c r="H71" s="7" t="s">
        <v>1352</v>
      </c>
      <c r="I71" s="8" t="s">
        <v>1292</v>
      </c>
      <c r="J71" s="8" t="s">
        <v>1293</v>
      </c>
      <c r="K71" s="9">
        <v>45068.583333333343</v>
      </c>
      <c r="L71" s="9">
        <v>45068.59375</v>
      </c>
      <c r="M71" s="9">
        <v>45068.614583333343</v>
      </c>
      <c r="N71" s="9">
        <v>45068.643750000003</v>
      </c>
      <c r="O71" s="10">
        <f t="shared" si="3"/>
        <v>0.69999999983701855</v>
      </c>
      <c r="P71" s="8">
        <v>0</v>
      </c>
      <c r="Q71" s="8" t="s">
        <v>1263</v>
      </c>
      <c r="R71" s="6" t="s">
        <v>1294</v>
      </c>
      <c r="S71" s="7" t="s">
        <v>1295</v>
      </c>
      <c r="T71" s="8" t="s">
        <v>1256</v>
      </c>
      <c r="U71" s="11">
        <f t="shared" si="4"/>
        <v>0</v>
      </c>
      <c r="V71" s="8" t="s">
        <v>1296</v>
      </c>
      <c r="W71" s="8" t="s">
        <v>1296</v>
      </c>
      <c r="X71" s="8" t="s">
        <v>1296</v>
      </c>
      <c r="Y71" s="8" t="s">
        <v>1296</v>
      </c>
      <c r="Z71" s="8" t="s">
        <v>1261</v>
      </c>
      <c r="AA71" s="12" t="str">
        <f t="shared" si="5"/>
        <v>UNK-UNK-UNK-UNK-INSP</v>
      </c>
    </row>
    <row r="72" spans="1:27" ht="20" customHeight="1" x14ac:dyDescent="0.35">
      <c r="A72" s="6" t="s">
        <v>1250</v>
      </c>
      <c r="B72" s="6" t="s">
        <v>381</v>
      </c>
      <c r="C72" s="13">
        <v>45459</v>
      </c>
      <c r="D72" s="6" t="s">
        <v>383</v>
      </c>
      <c r="E72" s="6" t="s">
        <v>47</v>
      </c>
      <c r="F72" s="6" t="s">
        <v>144</v>
      </c>
      <c r="G72" s="7" t="s">
        <v>132</v>
      </c>
      <c r="H72" s="7" t="s">
        <v>1327</v>
      </c>
      <c r="I72" s="8" t="s">
        <v>1292</v>
      </c>
      <c r="J72" s="8" t="s">
        <v>1293</v>
      </c>
      <c r="K72" s="9">
        <v>45459.416666666657</v>
      </c>
      <c r="L72" s="9">
        <v>45459.427083333343</v>
      </c>
      <c r="M72" s="9">
        <v>45459.447916666657</v>
      </c>
      <c r="N72" s="9">
        <v>45459.506944444453</v>
      </c>
      <c r="O72" s="10">
        <f t="shared" si="3"/>
        <v>1.4166666670935228</v>
      </c>
      <c r="P72" s="8">
        <v>0</v>
      </c>
      <c r="Q72" s="8" t="s">
        <v>1263</v>
      </c>
      <c r="R72" s="6" t="s">
        <v>1294</v>
      </c>
      <c r="S72" s="7" t="s">
        <v>1295</v>
      </c>
      <c r="T72" s="8" t="s">
        <v>1256</v>
      </c>
      <c r="U72" s="11">
        <f t="shared" si="4"/>
        <v>0</v>
      </c>
      <c r="V72" s="8" t="s">
        <v>1296</v>
      </c>
      <c r="W72" s="8" t="s">
        <v>1296</v>
      </c>
      <c r="X72" s="8" t="s">
        <v>1296</v>
      </c>
      <c r="Y72" s="8" t="s">
        <v>1296</v>
      </c>
      <c r="Z72" s="8" t="s">
        <v>1312</v>
      </c>
      <c r="AA72" s="12" t="str">
        <f t="shared" si="5"/>
        <v>UNK-UNK-UNK-UNK-REP</v>
      </c>
    </row>
    <row r="73" spans="1:27" ht="20" customHeight="1" x14ac:dyDescent="0.35">
      <c r="A73" s="6" t="s">
        <v>1250</v>
      </c>
      <c r="B73" s="6" t="s">
        <v>386</v>
      </c>
      <c r="C73" s="13">
        <v>45378</v>
      </c>
      <c r="D73" s="6" t="s">
        <v>892</v>
      </c>
      <c r="E73" s="6" t="s">
        <v>207</v>
      </c>
      <c r="F73" s="6" t="s">
        <v>1408</v>
      </c>
      <c r="G73" s="7" t="s">
        <v>389</v>
      </c>
      <c r="H73" s="7" t="s">
        <v>1353</v>
      </c>
      <c r="I73" s="8" t="s">
        <v>1292</v>
      </c>
      <c r="J73" s="8" t="s">
        <v>1293</v>
      </c>
      <c r="K73" s="9">
        <v>45378.225694444453</v>
      </c>
      <c r="L73" s="9">
        <v>45378.236111111109</v>
      </c>
      <c r="M73" s="9">
        <v>45378.256944444453</v>
      </c>
      <c r="N73" s="9">
        <v>45378.325694444437</v>
      </c>
      <c r="O73" s="10">
        <f t="shared" si="3"/>
        <v>1.6499999996158294</v>
      </c>
      <c r="P73" s="8">
        <v>0</v>
      </c>
      <c r="Q73" s="8" t="s">
        <v>1253</v>
      </c>
      <c r="R73" s="6" t="s">
        <v>1294</v>
      </c>
      <c r="S73" s="7" t="s">
        <v>1295</v>
      </c>
      <c r="T73" s="8" t="s">
        <v>1256</v>
      </c>
      <c r="U73" s="11">
        <f t="shared" si="4"/>
        <v>0</v>
      </c>
      <c r="V73" s="8" t="s">
        <v>1275</v>
      </c>
      <c r="W73" s="8" t="s">
        <v>1276</v>
      </c>
      <c r="X73" s="8" t="s">
        <v>1277</v>
      </c>
      <c r="Y73" s="8" t="s">
        <v>1275</v>
      </c>
      <c r="Z73" s="8" t="s">
        <v>1261</v>
      </c>
      <c r="AA73" s="12" t="str">
        <f t="shared" si="5"/>
        <v>INS-CTRL-DRF-INS-INSP</v>
      </c>
    </row>
    <row r="74" spans="1:27" ht="20" customHeight="1" x14ac:dyDescent="0.35">
      <c r="A74" s="6" t="s">
        <v>1250</v>
      </c>
      <c r="B74" s="6" t="s">
        <v>392</v>
      </c>
      <c r="C74" s="13">
        <v>45989</v>
      </c>
      <c r="D74" s="6" t="s">
        <v>383</v>
      </c>
      <c r="E74" s="6" t="s">
        <v>47</v>
      </c>
      <c r="F74" s="6" t="s">
        <v>144</v>
      </c>
      <c r="G74" s="7" t="s">
        <v>82</v>
      </c>
      <c r="H74" s="7" t="s">
        <v>1311</v>
      </c>
      <c r="I74" s="8" t="s">
        <v>1292</v>
      </c>
      <c r="J74" s="8" t="s">
        <v>1293</v>
      </c>
      <c r="K74" s="9">
        <v>45990.193749999999</v>
      </c>
      <c r="L74" s="9">
        <v>45990.20416666667</v>
      </c>
      <c r="M74" s="9">
        <v>45990.224999999999</v>
      </c>
      <c r="N74" s="9">
        <v>45990.29791666667</v>
      </c>
      <c r="O74" s="10">
        <f t="shared" si="3"/>
        <v>1.7500000001164153</v>
      </c>
      <c r="P74" s="8">
        <v>0</v>
      </c>
      <c r="Q74" s="8" t="s">
        <v>1263</v>
      </c>
      <c r="R74" s="6" t="s">
        <v>1294</v>
      </c>
      <c r="S74" s="7" t="s">
        <v>1295</v>
      </c>
      <c r="T74" s="8" t="s">
        <v>1266</v>
      </c>
      <c r="U74" s="11">
        <f t="shared" si="4"/>
        <v>0</v>
      </c>
      <c r="V74" s="8" t="s">
        <v>1296</v>
      </c>
      <c r="W74" s="8" t="s">
        <v>1296</v>
      </c>
      <c r="X74" s="8" t="s">
        <v>1296</v>
      </c>
      <c r="Y74" s="8" t="s">
        <v>1296</v>
      </c>
      <c r="Z74" s="8" t="s">
        <v>1312</v>
      </c>
      <c r="AA74" s="12" t="str">
        <f t="shared" si="5"/>
        <v>UNK-UNK-UNK-UNK-REP</v>
      </c>
    </row>
    <row r="75" spans="1:27" ht="20" customHeight="1" x14ac:dyDescent="0.35">
      <c r="A75" s="6" t="s">
        <v>1250</v>
      </c>
      <c r="B75" s="6" t="s">
        <v>395</v>
      </c>
      <c r="C75" s="13">
        <v>44985</v>
      </c>
      <c r="D75" s="6" t="s">
        <v>1354</v>
      </c>
      <c r="E75" s="6" t="s">
        <v>21</v>
      </c>
      <c r="F75" s="6" t="s">
        <v>1404</v>
      </c>
      <c r="G75" s="7" t="s">
        <v>121</v>
      </c>
      <c r="H75" s="7" t="s">
        <v>1325</v>
      </c>
      <c r="I75" s="8" t="s">
        <v>1292</v>
      </c>
      <c r="J75" s="8" t="s">
        <v>1293</v>
      </c>
      <c r="K75" s="9">
        <v>44985.333333333343</v>
      </c>
      <c r="L75" s="9">
        <v>44985.34375</v>
      </c>
      <c r="M75" s="9">
        <v>44985.364583333343</v>
      </c>
      <c r="N75" s="9">
        <v>44985.4</v>
      </c>
      <c r="O75" s="10">
        <f t="shared" si="3"/>
        <v>0.84999999980209395</v>
      </c>
      <c r="P75" s="8">
        <v>0</v>
      </c>
      <c r="Q75" s="8" t="s">
        <v>1263</v>
      </c>
      <c r="R75" s="6" t="s">
        <v>1294</v>
      </c>
      <c r="S75" s="7" t="s">
        <v>1295</v>
      </c>
      <c r="T75" s="8" t="s">
        <v>1256</v>
      </c>
      <c r="U75" s="11">
        <f t="shared" si="4"/>
        <v>0</v>
      </c>
      <c r="V75" s="8" t="s">
        <v>1296</v>
      </c>
      <c r="W75" s="8" t="s">
        <v>1296</v>
      </c>
      <c r="X75" s="8" t="s">
        <v>1296</v>
      </c>
      <c r="Y75" s="8" t="s">
        <v>1296</v>
      </c>
      <c r="Z75" s="8" t="s">
        <v>1261</v>
      </c>
      <c r="AA75" s="12" t="str">
        <f t="shared" si="5"/>
        <v>UNK-UNK-UNK-UNK-INSP</v>
      </c>
    </row>
    <row r="76" spans="1:27" ht="20" customHeight="1" x14ac:dyDescent="0.35">
      <c r="A76" s="6" t="s">
        <v>1250</v>
      </c>
      <c r="B76" s="6" t="s">
        <v>400</v>
      </c>
      <c r="C76" s="13">
        <v>45867</v>
      </c>
      <c r="D76" s="6" t="s">
        <v>402</v>
      </c>
      <c r="E76" s="6" t="s">
        <v>47</v>
      </c>
      <c r="F76" s="6" t="s">
        <v>33</v>
      </c>
      <c r="G76" s="7" t="s">
        <v>313</v>
      </c>
      <c r="H76" s="7" t="s">
        <v>1342</v>
      </c>
      <c r="I76" s="8" t="s">
        <v>1252</v>
      </c>
      <c r="J76" s="8" t="s">
        <v>1252</v>
      </c>
      <c r="K76" s="9">
        <v>45867.947916666657</v>
      </c>
      <c r="L76" s="9">
        <v>45867.958333333343</v>
      </c>
      <c r="M76" s="9">
        <v>45867.979166666657</v>
      </c>
      <c r="N76" s="9">
        <v>45868.063888888893</v>
      </c>
      <c r="O76" s="10">
        <f t="shared" si="3"/>
        <v>2.0333333336748183</v>
      </c>
      <c r="P76" s="8">
        <v>0</v>
      </c>
      <c r="Q76" s="8" t="s">
        <v>1263</v>
      </c>
      <c r="R76" s="6" t="s">
        <v>1280</v>
      </c>
      <c r="S76" s="7" t="s">
        <v>1281</v>
      </c>
      <c r="T76" s="8" t="s">
        <v>1256</v>
      </c>
      <c r="U76" s="11">
        <f t="shared" si="4"/>
        <v>1</v>
      </c>
      <c r="V76" s="8" t="s">
        <v>1282</v>
      </c>
      <c r="W76" s="8" t="s">
        <v>1276</v>
      </c>
      <c r="X76" s="8" t="s">
        <v>1269</v>
      </c>
      <c r="Y76" s="8" t="s">
        <v>1275</v>
      </c>
      <c r="Z76" s="8" t="s">
        <v>1326</v>
      </c>
      <c r="AA76" s="12" t="str">
        <f t="shared" si="5"/>
        <v>IMP-CTRL-BLK-INS-CLN</v>
      </c>
    </row>
    <row r="77" spans="1:27" ht="20" customHeight="1" x14ac:dyDescent="0.35">
      <c r="A77" s="6" t="s">
        <v>1250</v>
      </c>
      <c r="B77" s="6" t="s">
        <v>405</v>
      </c>
      <c r="C77" s="13">
        <v>45428</v>
      </c>
      <c r="D77" s="6" t="s">
        <v>892</v>
      </c>
      <c r="E77" s="6" t="s">
        <v>207</v>
      </c>
      <c r="F77" s="6" t="s">
        <v>144</v>
      </c>
      <c r="G77" s="7" t="s">
        <v>76</v>
      </c>
      <c r="H77" s="7" t="s">
        <v>1310</v>
      </c>
      <c r="I77" s="8" t="s">
        <v>1272</v>
      </c>
      <c r="J77" s="8" t="s">
        <v>1252</v>
      </c>
      <c r="K77" s="9">
        <v>45428.450694444437</v>
      </c>
      <c r="L77" s="9">
        <v>45428.461111111108</v>
      </c>
      <c r="M77" s="9">
        <v>45428.481944444437</v>
      </c>
      <c r="N77" s="9">
        <v>45428.503472222219</v>
      </c>
      <c r="O77" s="10">
        <f t="shared" si="3"/>
        <v>0.51666666677920148</v>
      </c>
      <c r="P77" s="8">
        <v>0</v>
      </c>
      <c r="Q77" s="8" t="s">
        <v>1253</v>
      </c>
      <c r="R77" s="6" t="s">
        <v>1273</v>
      </c>
      <c r="S77" s="7" t="s">
        <v>1274</v>
      </c>
      <c r="T77" s="8" t="s">
        <v>1256</v>
      </c>
      <c r="U77" s="11">
        <f t="shared" si="4"/>
        <v>1</v>
      </c>
      <c r="V77" s="8" t="s">
        <v>1275</v>
      </c>
      <c r="W77" s="8" t="s">
        <v>1276</v>
      </c>
      <c r="X77" s="8" t="s">
        <v>1277</v>
      </c>
      <c r="Y77" s="8" t="s">
        <v>1275</v>
      </c>
      <c r="Z77" s="8" t="s">
        <v>1278</v>
      </c>
      <c r="AA77" s="12" t="str">
        <f t="shared" si="5"/>
        <v>INS-CTRL-DRF-INS-RST</v>
      </c>
    </row>
    <row r="78" spans="1:27" ht="20" customHeight="1" x14ac:dyDescent="0.35">
      <c r="A78" s="6" t="s">
        <v>1250</v>
      </c>
      <c r="B78" s="6" t="s">
        <v>409</v>
      </c>
      <c r="C78" s="13">
        <v>45469</v>
      </c>
      <c r="D78" s="6" t="s">
        <v>1355</v>
      </c>
      <c r="E78" s="6" t="s">
        <v>41</v>
      </c>
      <c r="F78" s="6" t="s">
        <v>144</v>
      </c>
      <c r="G78" s="7" t="s">
        <v>412</v>
      </c>
      <c r="H78" s="7" t="s">
        <v>1356</v>
      </c>
      <c r="I78" s="8" t="s">
        <v>1252</v>
      </c>
      <c r="J78" s="8" t="s">
        <v>1252</v>
      </c>
      <c r="K78" s="9">
        <v>45469.508333333331</v>
      </c>
      <c r="L78" s="9">
        <v>45469.518750000003</v>
      </c>
      <c r="M78" s="9">
        <v>45469.539583333331</v>
      </c>
      <c r="N78" s="9">
        <v>45469.675000000003</v>
      </c>
      <c r="O78" s="10">
        <f t="shared" si="3"/>
        <v>3.2500000001164153</v>
      </c>
      <c r="P78" s="8">
        <v>0</v>
      </c>
      <c r="Q78" s="8" t="s">
        <v>1263</v>
      </c>
      <c r="R78" s="6" t="s">
        <v>1320</v>
      </c>
      <c r="S78" s="7" t="s">
        <v>1321</v>
      </c>
      <c r="T78" s="8" t="s">
        <v>1266</v>
      </c>
      <c r="U78" s="11">
        <f t="shared" si="4"/>
        <v>1</v>
      </c>
      <c r="V78" s="8" t="s">
        <v>1322</v>
      </c>
      <c r="W78" s="8" t="s">
        <v>1258</v>
      </c>
      <c r="X78" s="8" t="s">
        <v>1323</v>
      </c>
      <c r="Y78" s="8" t="s">
        <v>1260</v>
      </c>
      <c r="Z78" s="8" t="s">
        <v>1312</v>
      </c>
      <c r="AA78" s="12" t="str">
        <f t="shared" si="5"/>
        <v>SEA-DE-LEK-MEC-REP</v>
      </c>
    </row>
    <row r="79" spans="1:27" ht="20" customHeight="1" x14ac:dyDescent="0.35">
      <c r="A79" s="6" t="s">
        <v>1250</v>
      </c>
      <c r="B79" s="6" t="s">
        <v>414</v>
      </c>
      <c r="C79" s="13">
        <v>46016</v>
      </c>
      <c r="D79" s="6" t="s">
        <v>353</v>
      </c>
      <c r="E79" s="6" t="s">
        <v>60</v>
      </c>
      <c r="F79" s="6" t="s">
        <v>1407</v>
      </c>
      <c r="G79" s="7" t="s">
        <v>416</v>
      </c>
      <c r="H79" s="7" t="s">
        <v>1357</v>
      </c>
      <c r="I79" s="8" t="s">
        <v>1252</v>
      </c>
      <c r="J79" s="8" t="s">
        <v>1252</v>
      </c>
      <c r="K79" s="9">
        <v>46016.617361111108</v>
      </c>
      <c r="L79" s="9">
        <v>46016.62777777778</v>
      </c>
      <c r="M79" s="9">
        <v>46016.648611111108</v>
      </c>
      <c r="N79" s="9">
        <v>46016.793749999997</v>
      </c>
      <c r="O79" s="10">
        <f t="shared" si="3"/>
        <v>3.4833333333372138</v>
      </c>
      <c r="P79" s="8">
        <v>0</v>
      </c>
      <c r="Q79" s="8" t="s">
        <v>1253</v>
      </c>
      <c r="R79" s="6" t="s">
        <v>1358</v>
      </c>
      <c r="S79" s="7" t="s">
        <v>1359</v>
      </c>
      <c r="T79" s="8" t="s">
        <v>1256</v>
      </c>
      <c r="U79" s="11">
        <f t="shared" si="4"/>
        <v>1</v>
      </c>
      <c r="V79" s="8" t="s">
        <v>1275</v>
      </c>
      <c r="W79" s="8" t="s">
        <v>1276</v>
      </c>
      <c r="X79" s="8" t="s">
        <v>1277</v>
      </c>
      <c r="Y79" s="8" t="s">
        <v>1275</v>
      </c>
      <c r="Z79" s="8" t="s">
        <v>1261</v>
      </c>
      <c r="AA79" s="12" t="str">
        <f t="shared" si="5"/>
        <v>INS-CTRL-DRF-INS-INSP</v>
      </c>
    </row>
    <row r="80" spans="1:27" ht="20" customHeight="1" x14ac:dyDescent="0.35">
      <c r="A80" s="6" t="s">
        <v>1250</v>
      </c>
      <c r="B80" s="6" t="s">
        <v>419</v>
      </c>
      <c r="C80" s="13">
        <v>45078</v>
      </c>
      <c r="D80" s="6" t="s">
        <v>1360</v>
      </c>
      <c r="E80" s="6" t="s">
        <v>21</v>
      </c>
      <c r="F80" s="6" t="s">
        <v>144</v>
      </c>
      <c r="G80" s="7" t="s">
        <v>116</v>
      </c>
      <c r="H80" s="7" t="s">
        <v>1324</v>
      </c>
      <c r="I80" s="8" t="s">
        <v>1292</v>
      </c>
      <c r="J80" s="8" t="s">
        <v>1293</v>
      </c>
      <c r="K80" s="9">
        <v>45078.384027777778</v>
      </c>
      <c r="L80" s="9">
        <v>45078.394444444442</v>
      </c>
      <c r="M80" s="9">
        <v>45078.415277777778</v>
      </c>
      <c r="N80" s="9">
        <v>45079.082638888889</v>
      </c>
      <c r="O80" s="10">
        <f t="shared" si="3"/>
        <v>16.016666666662786</v>
      </c>
      <c r="P80" s="8">
        <v>0</v>
      </c>
      <c r="Q80" s="8" t="s">
        <v>1263</v>
      </c>
      <c r="R80" s="6" t="s">
        <v>1294</v>
      </c>
      <c r="S80" s="7" t="s">
        <v>1295</v>
      </c>
      <c r="T80" s="8" t="s">
        <v>1256</v>
      </c>
      <c r="U80" s="11">
        <f t="shared" si="4"/>
        <v>0</v>
      </c>
      <c r="V80" s="8" t="s">
        <v>1296</v>
      </c>
      <c r="W80" s="8" t="s">
        <v>1296</v>
      </c>
      <c r="X80" s="8" t="s">
        <v>1296</v>
      </c>
      <c r="Y80" s="8" t="s">
        <v>1296</v>
      </c>
      <c r="Z80" s="8" t="s">
        <v>1312</v>
      </c>
      <c r="AA80" s="12" t="str">
        <f t="shared" si="5"/>
        <v>UNK-UNK-UNK-UNK-REP</v>
      </c>
    </row>
    <row r="81" spans="1:27" ht="20" customHeight="1" x14ac:dyDescent="0.35">
      <c r="A81" s="6" t="s">
        <v>1250</v>
      </c>
      <c r="B81" s="6" t="s">
        <v>424</v>
      </c>
      <c r="C81" s="13">
        <v>45618</v>
      </c>
      <c r="D81" s="6" t="s">
        <v>63</v>
      </c>
      <c r="E81" s="6" t="s">
        <v>21</v>
      </c>
      <c r="F81" s="6" t="s">
        <v>1405</v>
      </c>
      <c r="G81" s="7" t="s">
        <v>116</v>
      </c>
      <c r="H81" s="7" t="s">
        <v>1324</v>
      </c>
      <c r="I81" s="8" t="s">
        <v>1292</v>
      </c>
      <c r="J81" s="8" t="s">
        <v>1293</v>
      </c>
      <c r="K81" s="9">
        <v>45618.854166666657</v>
      </c>
      <c r="L81" s="9">
        <v>45618.864583333343</v>
      </c>
      <c r="M81" s="9">
        <v>45618.885416666657</v>
      </c>
      <c r="N81" s="9">
        <v>45619.018750000003</v>
      </c>
      <c r="O81" s="10">
        <f t="shared" si="3"/>
        <v>3.2000000003026798</v>
      </c>
      <c r="P81" s="8">
        <v>0</v>
      </c>
      <c r="Q81" s="8" t="s">
        <v>1263</v>
      </c>
      <c r="R81" s="6" t="s">
        <v>1294</v>
      </c>
      <c r="S81" s="7" t="s">
        <v>1295</v>
      </c>
      <c r="T81" s="8" t="s">
        <v>1256</v>
      </c>
      <c r="U81" s="11">
        <f t="shared" si="4"/>
        <v>0</v>
      </c>
      <c r="V81" s="8" t="s">
        <v>1296</v>
      </c>
      <c r="W81" s="8" t="s">
        <v>1296</v>
      </c>
      <c r="X81" s="8" t="s">
        <v>1296</v>
      </c>
      <c r="Y81" s="8" t="s">
        <v>1296</v>
      </c>
      <c r="Z81" s="8" t="s">
        <v>1312</v>
      </c>
      <c r="AA81" s="12" t="str">
        <f t="shared" si="5"/>
        <v>UNK-UNK-UNK-UNK-REP</v>
      </c>
    </row>
    <row r="82" spans="1:27" ht="20" customHeight="1" x14ac:dyDescent="0.35">
      <c r="A82" s="6" t="s">
        <v>1250</v>
      </c>
      <c r="B82" s="6" t="s">
        <v>428</v>
      </c>
      <c r="C82" s="13">
        <v>45392</v>
      </c>
      <c r="D82" s="6" t="s">
        <v>1361</v>
      </c>
      <c r="E82" s="6" t="s">
        <v>47</v>
      </c>
      <c r="F82" s="6" t="s">
        <v>1407</v>
      </c>
      <c r="G82" s="7" t="s">
        <v>100</v>
      </c>
      <c r="H82" s="7" t="s">
        <v>1314</v>
      </c>
      <c r="I82" s="8" t="s">
        <v>1252</v>
      </c>
      <c r="J82" s="8" t="s">
        <v>1252</v>
      </c>
      <c r="K82" s="9">
        <v>45392.680555555547</v>
      </c>
      <c r="L82" s="9">
        <v>45392.690972222219</v>
      </c>
      <c r="M82" s="9">
        <v>45392.711805555547</v>
      </c>
      <c r="N82" s="9">
        <v>45392.881249999999</v>
      </c>
      <c r="O82" s="10">
        <f t="shared" si="3"/>
        <v>4.0666666668257676</v>
      </c>
      <c r="P82" s="8">
        <v>0</v>
      </c>
      <c r="Q82" s="8" t="s">
        <v>1253</v>
      </c>
      <c r="R82" s="6" t="s">
        <v>1315</v>
      </c>
      <c r="S82" s="7" t="s">
        <v>1316</v>
      </c>
      <c r="T82" s="8" t="s">
        <v>1256</v>
      </c>
      <c r="U82" s="11">
        <f t="shared" si="4"/>
        <v>1</v>
      </c>
      <c r="V82" s="8" t="s">
        <v>1282</v>
      </c>
      <c r="W82" s="8" t="s">
        <v>1268</v>
      </c>
      <c r="X82" s="8" t="s">
        <v>1317</v>
      </c>
      <c r="Y82" s="8" t="s">
        <v>1318</v>
      </c>
      <c r="Z82" s="8" t="s">
        <v>1261</v>
      </c>
      <c r="AA82" s="12" t="str">
        <f t="shared" si="5"/>
        <v>IMP-SUC-CAV-HYD-INSP</v>
      </c>
    </row>
    <row r="83" spans="1:27" ht="20" customHeight="1" x14ac:dyDescent="0.35">
      <c r="A83" s="6" t="s">
        <v>1250</v>
      </c>
      <c r="B83" s="6" t="s">
        <v>433</v>
      </c>
      <c r="C83" s="13">
        <v>45107</v>
      </c>
      <c r="D83" s="6" t="s">
        <v>1362</v>
      </c>
      <c r="E83" s="6" t="s">
        <v>47</v>
      </c>
      <c r="F83" s="6" t="s">
        <v>1407</v>
      </c>
      <c r="G83" s="7" t="s">
        <v>436</v>
      </c>
      <c r="H83" s="7" t="s">
        <v>1363</v>
      </c>
      <c r="I83" s="8" t="s">
        <v>1272</v>
      </c>
      <c r="J83" s="8" t="s">
        <v>1252</v>
      </c>
      <c r="K83" s="9">
        <v>45107.318055555559</v>
      </c>
      <c r="L83" s="9">
        <v>45107.328472222223</v>
      </c>
      <c r="M83" s="9">
        <v>45107.349305555559</v>
      </c>
      <c r="N83" s="9">
        <v>45107.583333333343</v>
      </c>
      <c r="O83" s="10">
        <f t="shared" si="3"/>
        <v>5.6166666668141261</v>
      </c>
      <c r="P83" s="8">
        <v>0</v>
      </c>
      <c r="Q83" s="8" t="s">
        <v>1263</v>
      </c>
      <c r="R83" s="6" t="s">
        <v>1299</v>
      </c>
      <c r="S83" s="7" t="s">
        <v>1300</v>
      </c>
      <c r="T83" s="8" t="s">
        <v>1256</v>
      </c>
      <c r="U83" s="11">
        <f t="shared" si="4"/>
        <v>1</v>
      </c>
      <c r="V83" s="8" t="s">
        <v>1301</v>
      </c>
      <c r="W83" s="8" t="s">
        <v>1258</v>
      </c>
      <c r="X83" s="8" t="s">
        <v>1302</v>
      </c>
      <c r="Y83" s="8" t="s">
        <v>1260</v>
      </c>
      <c r="Z83" s="8" t="s">
        <v>1278</v>
      </c>
      <c r="AA83" s="12" t="str">
        <f t="shared" si="5"/>
        <v>BRG-DE-VIB-MEC-RST</v>
      </c>
    </row>
    <row r="84" spans="1:27" ht="20" customHeight="1" x14ac:dyDescent="0.35">
      <c r="A84" s="6" t="s">
        <v>1250</v>
      </c>
      <c r="B84" s="6" t="s">
        <v>439</v>
      </c>
      <c r="C84" s="13">
        <v>45444</v>
      </c>
      <c r="D84" s="6" t="s">
        <v>441</v>
      </c>
      <c r="E84" s="6" t="s">
        <v>47</v>
      </c>
      <c r="F84" s="6" t="s">
        <v>144</v>
      </c>
      <c r="G84" s="7" t="s">
        <v>442</v>
      </c>
      <c r="H84" s="7" t="s">
        <v>1283</v>
      </c>
      <c r="I84" s="8" t="s">
        <v>1284</v>
      </c>
      <c r="J84" s="8" t="s">
        <v>1285</v>
      </c>
      <c r="K84" s="9">
        <v>45444.291666666657</v>
      </c>
      <c r="L84" s="9">
        <v>45444.291666666657</v>
      </c>
      <c r="M84" s="9">
        <v>45444.291666666657</v>
      </c>
      <c r="N84" s="9">
        <v>45444.395138888889</v>
      </c>
      <c r="O84" s="10">
        <f t="shared" si="3"/>
        <v>2.4833333335700445</v>
      </c>
      <c r="P84" s="8">
        <v>1</v>
      </c>
      <c r="Q84" s="8" t="s">
        <v>1263</v>
      </c>
      <c r="R84" s="6" t="s">
        <v>1286</v>
      </c>
      <c r="S84" s="7" t="s">
        <v>1287</v>
      </c>
      <c r="T84" s="8" t="s">
        <v>1256</v>
      </c>
      <c r="U84" s="11">
        <f t="shared" si="4"/>
        <v>0</v>
      </c>
      <c r="V84" s="8" t="s">
        <v>1296</v>
      </c>
      <c r="W84" s="8" t="s">
        <v>1296</v>
      </c>
      <c r="X84" s="8" t="s">
        <v>1296</v>
      </c>
      <c r="Y84" s="8" t="s">
        <v>1296</v>
      </c>
      <c r="Z84" s="8" t="s">
        <v>1284</v>
      </c>
      <c r="AA84" s="12" t="str">
        <f t="shared" si="5"/>
        <v>UNK-UNK-UNK-UNK-PM</v>
      </c>
    </row>
    <row r="85" spans="1:27" ht="20" customHeight="1" x14ac:dyDescent="0.35">
      <c r="A85" s="6" t="s">
        <v>1250</v>
      </c>
      <c r="B85" s="6" t="s">
        <v>445</v>
      </c>
      <c r="C85" s="13">
        <v>45832</v>
      </c>
      <c r="D85" s="6" t="s">
        <v>794</v>
      </c>
      <c r="E85" s="6" t="s">
        <v>41</v>
      </c>
      <c r="F85" s="6" t="s">
        <v>20</v>
      </c>
      <c r="G85" s="7" t="s">
        <v>82</v>
      </c>
      <c r="H85" s="7" t="s">
        <v>1311</v>
      </c>
      <c r="I85" s="8" t="s">
        <v>1292</v>
      </c>
      <c r="J85" s="8" t="s">
        <v>1293</v>
      </c>
      <c r="K85" s="9">
        <v>45832.959722222222</v>
      </c>
      <c r="L85" s="9">
        <v>45832.970138888893</v>
      </c>
      <c r="M85" s="9">
        <v>45832.990972222222</v>
      </c>
      <c r="N85" s="9">
        <v>45834.43472222222</v>
      </c>
      <c r="O85" s="10">
        <f t="shared" si="3"/>
        <v>34.649999999965075</v>
      </c>
      <c r="P85" s="8">
        <v>0</v>
      </c>
      <c r="Q85" s="8" t="s">
        <v>1263</v>
      </c>
      <c r="R85" s="6" t="s">
        <v>1294</v>
      </c>
      <c r="S85" s="7" t="s">
        <v>1295</v>
      </c>
      <c r="T85" s="8" t="s">
        <v>1256</v>
      </c>
      <c r="U85" s="11">
        <f t="shared" si="4"/>
        <v>0</v>
      </c>
      <c r="V85" s="8" t="s">
        <v>1296</v>
      </c>
      <c r="W85" s="8" t="s">
        <v>1296</v>
      </c>
      <c r="X85" s="8" t="s">
        <v>1296</v>
      </c>
      <c r="Y85" s="8" t="s">
        <v>1296</v>
      </c>
      <c r="Z85" s="8" t="s">
        <v>1312</v>
      </c>
      <c r="AA85" s="12" t="str">
        <f t="shared" si="5"/>
        <v>UNK-UNK-UNK-UNK-REP</v>
      </c>
    </row>
    <row r="86" spans="1:27" ht="20" customHeight="1" x14ac:dyDescent="0.35">
      <c r="A86" s="6" t="s">
        <v>1250</v>
      </c>
      <c r="B86" s="6" t="s">
        <v>450</v>
      </c>
      <c r="C86" s="13">
        <v>45566</v>
      </c>
      <c r="D86" s="6" t="s">
        <v>29</v>
      </c>
      <c r="E86" s="6" t="s">
        <v>34</v>
      </c>
      <c r="F86" s="6" t="s">
        <v>1408</v>
      </c>
      <c r="G86" s="7" t="s">
        <v>453</v>
      </c>
      <c r="H86" s="7" t="s">
        <v>1364</v>
      </c>
      <c r="I86" s="8" t="s">
        <v>1252</v>
      </c>
      <c r="J86" s="8" t="s">
        <v>1252</v>
      </c>
      <c r="K86" s="9">
        <v>45566.112500000003</v>
      </c>
      <c r="L86" s="9">
        <v>45566.122916666667</v>
      </c>
      <c r="M86" s="9">
        <v>45566.143750000003</v>
      </c>
      <c r="N86" s="9">
        <v>45566.237500000003</v>
      </c>
      <c r="O86" s="10">
        <f t="shared" si="3"/>
        <v>2.25</v>
      </c>
      <c r="P86" s="8">
        <v>0</v>
      </c>
      <c r="Q86" s="8" t="s">
        <v>1263</v>
      </c>
      <c r="R86" s="6" t="s">
        <v>1365</v>
      </c>
      <c r="S86" s="7" t="s">
        <v>1366</v>
      </c>
      <c r="T86" s="8" t="s">
        <v>1266</v>
      </c>
      <c r="U86" s="11">
        <f t="shared" si="4"/>
        <v>1</v>
      </c>
      <c r="V86" s="8" t="s">
        <v>1275</v>
      </c>
      <c r="W86" s="8" t="s">
        <v>1276</v>
      </c>
      <c r="X86" s="8" t="s">
        <v>1277</v>
      </c>
      <c r="Y86" s="8" t="s">
        <v>1275</v>
      </c>
      <c r="Z86" s="8" t="s">
        <v>1261</v>
      </c>
      <c r="AA86" s="12" t="str">
        <f t="shared" si="5"/>
        <v>INS-CTRL-DRF-INS-INSP</v>
      </c>
    </row>
    <row r="87" spans="1:27" ht="20" customHeight="1" x14ac:dyDescent="0.35">
      <c r="A87" s="6" t="s">
        <v>1250</v>
      </c>
      <c r="B87" s="6" t="s">
        <v>455</v>
      </c>
      <c r="C87" s="13">
        <v>45048</v>
      </c>
      <c r="D87" s="6" t="s">
        <v>169</v>
      </c>
      <c r="E87" s="6" t="s">
        <v>14</v>
      </c>
      <c r="F87" s="6" t="s">
        <v>1404</v>
      </c>
      <c r="G87" s="7" t="s">
        <v>194</v>
      </c>
      <c r="H87" s="7" t="s">
        <v>1330</v>
      </c>
      <c r="I87" s="8" t="s">
        <v>1292</v>
      </c>
      <c r="J87" s="8" t="s">
        <v>1293</v>
      </c>
      <c r="K87" s="9">
        <v>45048.486805555563</v>
      </c>
      <c r="L87" s="9">
        <v>45048.49722222222</v>
      </c>
      <c r="M87" s="9">
        <v>45048.518055555563</v>
      </c>
      <c r="N87" s="9">
        <v>45048.59097222222</v>
      </c>
      <c r="O87" s="10">
        <f t="shared" si="3"/>
        <v>1.7499999997671694</v>
      </c>
      <c r="P87" s="8">
        <v>0</v>
      </c>
      <c r="Q87" s="8" t="s">
        <v>1263</v>
      </c>
      <c r="R87" s="6" t="s">
        <v>1294</v>
      </c>
      <c r="S87" s="7" t="s">
        <v>1295</v>
      </c>
      <c r="T87" s="8" t="s">
        <v>1266</v>
      </c>
      <c r="U87" s="11">
        <f t="shared" si="4"/>
        <v>0</v>
      </c>
      <c r="V87" s="8" t="s">
        <v>1275</v>
      </c>
      <c r="W87" s="8" t="s">
        <v>1276</v>
      </c>
      <c r="X87" s="8" t="s">
        <v>1277</v>
      </c>
      <c r="Y87" s="8" t="s">
        <v>1275</v>
      </c>
      <c r="Z87" s="8" t="s">
        <v>1326</v>
      </c>
      <c r="AA87" s="12" t="str">
        <f t="shared" si="5"/>
        <v>INS-CTRL-DRF-INS-CLN</v>
      </c>
    </row>
    <row r="88" spans="1:27" ht="20" customHeight="1" x14ac:dyDescent="0.35">
      <c r="A88" s="6" t="s">
        <v>1250</v>
      </c>
      <c r="B88" s="6" t="s">
        <v>458</v>
      </c>
      <c r="C88" s="13">
        <v>45492</v>
      </c>
      <c r="D88" s="6" t="s">
        <v>460</v>
      </c>
      <c r="E88" s="6" t="s">
        <v>207</v>
      </c>
      <c r="F88" s="6" t="s">
        <v>33</v>
      </c>
      <c r="G88" s="7" t="s">
        <v>461</v>
      </c>
      <c r="H88" s="7" t="s">
        <v>1367</v>
      </c>
      <c r="I88" s="8" t="s">
        <v>1272</v>
      </c>
      <c r="J88" s="8" t="s">
        <v>1252</v>
      </c>
      <c r="K88" s="9">
        <v>45492.160416666673</v>
      </c>
      <c r="L88" s="9">
        <v>45492.17083333333</v>
      </c>
      <c r="M88" s="9">
        <v>45492.191666666673</v>
      </c>
      <c r="N88" s="9">
        <v>45492.328472222223</v>
      </c>
      <c r="O88" s="10">
        <f t="shared" si="3"/>
        <v>3.283333333209157</v>
      </c>
      <c r="P88" s="8">
        <v>0</v>
      </c>
      <c r="Q88" s="8" t="s">
        <v>1263</v>
      </c>
      <c r="R88" s="6" t="s">
        <v>1273</v>
      </c>
      <c r="S88" s="7" t="s">
        <v>1274</v>
      </c>
      <c r="T88" s="8" t="s">
        <v>1256</v>
      </c>
      <c r="U88" s="11">
        <f t="shared" si="4"/>
        <v>1</v>
      </c>
      <c r="V88" s="8" t="s">
        <v>1275</v>
      </c>
      <c r="W88" s="8" t="s">
        <v>1276</v>
      </c>
      <c r="X88" s="8" t="s">
        <v>1277</v>
      </c>
      <c r="Y88" s="8" t="s">
        <v>1275</v>
      </c>
      <c r="Z88" s="8" t="s">
        <v>1278</v>
      </c>
      <c r="AA88" s="12" t="str">
        <f t="shared" si="5"/>
        <v>INS-CTRL-DRF-INS-RST</v>
      </c>
    </row>
    <row r="89" spans="1:27" ht="20" customHeight="1" x14ac:dyDescent="0.35">
      <c r="A89" s="6" t="s">
        <v>1250</v>
      </c>
      <c r="B89" s="6" t="s">
        <v>464</v>
      </c>
      <c r="C89" s="13">
        <v>45562</v>
      </c>
      <c r="D89" s="6" t="s">
        <v>1368</v>
      </c>
      <c r="E89" s="6" t="s">
        <v>21</v>
      </c>
      <c r="F89" s="6" t="s">
        <v>20</v>
      </c>
      <c r="G89" s="7" t="s">
        <v>313</v>
      </c>
      <c r="H89" s="7" t="s">
        <v>1342</v>
      </c>
      <c r="I89" s="8" t="s">
        <v>1252</v>
      </c>
      <c r="J89" s="8" t="s">
        <v>1252</v>
      </c>
      <c r="K89" s="9">
        <v>45562.40625</v>
      </c>
      <c r="L89" s="9">
        <v>45562.416666666657</v>
      </c>
      <c r="M89" s="9">
        <v>45562.4375</v>
      </c>
      <c r="N89" s="9">
        <v>45562.569444444453</v>
      </c>
      <c r="O89" s="10">
        <f t="shared" si="3"/>
        <v>3.1666666668606922</v>
      </c>
      <c r="P89" s="8">
        <v>0</v>
      </c>
      <c r="Q89" s="8" t="s">
        <v>1263</v>
      </c>
      <c r="R89" s="6" t="s">
        <v>1280</v>
      </c>
      <c r="S89" s="7" t="s">
        <v>1281</v>
      </c>
      <c r="T89" s="8" t="s">
        <v>1256</v>
      </c>
      <c r="U89" s="11">
        <f t="shared" si="4"/>
        <v>1</v>
      </c>
      <c r="V89" s="8" t="s">
        <v>1282</v>
      </c>
      <c r="W89" s="8" t="s">
        <v>1276</v>
      </c>
      <c r="X89" s="8" t="s">
        <v>1269</v>
      </c>
      <c r="Y89" s="8" t="s">
        <v>1275</v>
      </c>
      <c r="Z89" s="8" t="s">
        <v>1326</v>
      </c>
      <c r="AA89" s="12" t="str">
        <f t="shared" si="5"/>
        <v>IMP-CTRL-BLK-INS-CLN</v>
      </c>
    </row>
    <row r="90" spans="1:27" ht="20" customHeight="1" x14ac:dyDescent="0.35">
      <c r="A90" s="6" t="s">
        <v>1250</v>
      </c>
      <c r="B90" s="6" t="s">
        <v>469</v>
      </c>
      <c r="C90" s="13">
        <v>45633</v>
      </c>
      <c r="D90" s="6" t="s">
        <v>761</v>
      </c>
      <c r="E90" s="6" t="s">
        <v>47</v>
      </c>
      <c r="F90" s="6" t="s">
        <v>1408</v>
      </c>
      <c r="G90" s="7" t="s">
        <v>82</v>
      </c>
      <c r="H90" s="7" t="s">
        <v>1311</v>
      </c>
      <c r="I90" s="8" t="s">
        <v>1292</v>
      </c>
      <c r="J90" s="8" t="s">
        <v>1293</v>
      </c>
      <c r="K90" s="9">
        <v>45633.662499999999</v>
      </c>
      <c r="L90" s="9">
        <v>45633.67291666667</v>
      </c>
      <c r="M90" s="9">
        <v>45633.693749999999</v>
      </c>
      <c r="N90" s="9">
        <v>45633.76666666667</v>
      </c>
      <c r="O90" s="10">
        <f t="shared" si="3"/>
        <v>1.7500000001164153</v>
      </c>
      <c r="P90" s="8">
        <v>0</v>
      </c>
      <c r="Q90" s="8" t="s">
        <v>1263</v>
      </c>
      <c r="R90" s="6" t="s">
        <v>1294</v>
      </c>
      <c r="S90" s="7" t="s">
        <v>1295</v>
      </c>
      <c r="T90" s="8" t="s">
        <v>1266</v>
      </c>
      <c r="U90" s="11">
        <f t="shared" si="4"/>
        <v>0</v>
      </c>
      <c r="V90" s="8" t="s">
        <v>1296</v>
      </c>
      <c r="W90" s="8" t="s">
        <v>1296</v>
      </c>
      <c r="X90" s="8" t="s">
        <v>1296</v>
      </c>
      <c r="Y90" s="8" t="s">
        <v>1296</v>
      </c>
      <c r="Z90" s="8" t="s">
        <v>1312</v>
      </c>
      <c r="AA90" s="12" t="str">
        <f t="shared" si="5"/>
        <v>UNK-UNK-UNK-UNK-REP</v>
      </c>
    </row>
    <row r="91" spans="1:27" ht="20" customHeight="1" x14ac:dyDescent="0.35">
      <c r="A91" s="6" t="s">
        <v>1250</v>
      </c>
      <c r="B91" s="6" t="s">
        <v>472</v>
      </c>
      <c r="C91" s="13">
        <v>45032</v>
      </c>
      <c r="D91" s="6" t="s">
        <v>1340</v>
      </c>
      <c r="E91" s="6" t="s">
        <v>41</v>
      </c>
      <c r="F91" s="6" t="s">
        <v>33</v>
      </c>
      <c r="G91" s="7" t="s">
        <v>474</v>
      </c>
      <c r="H91" s="7" t="s">
        <v>1283</v>
      </c>
      <c r="I91" s="8" t="s">
        <v>1284</v>
      </c>
      <c r="J91" s="8" t="s">
        <v>1285</v>
      </c>
      <c r="K91" s="9">
        <v>45032.458333333343</v>
      </c>
      <c r="L91" s="9">
        <v>45032.458333333343</v>
      </c>
      <c r="M91" s="9">
        <v>45032.458333333343</v>
      </c>
      <c r="N91" s="9">
        <v>45032.552083333343</v>
      </c>
      <c r="O91" s="10">
        <f t="shared" si="3"/>
        <v>2.25</v>
      </c>
      <c r="P91" s="8">
        <v>1</v>
      </c>
      <c r="Q91" s="8" t="s">
        <v>1263</v>
      </c>
      <c r="R91" s="6" t="s">
        <v>1286</v>
      </c>
      <c r="S91" s="7" t="s">
        <v>1287</v>
      </c>
      <c r="T91" s="8" t="s">
        <v>1256</v>
      </c>
      <c r="U91" s="11">
        <f t="shared" si="4"/>
        <v>0</v>
      </c>
      <c r="V91" s="8" t="s">
        <v>1296</v>
      </c>
      <c r="W91" s="8" t="s">
        <v>1296</v>
      </c>
      <c r="X91" s="8" t="s">
        <v>1296</v>
      </c>
      <c r="Y91" s="8" t="s">
        <v>1296</v>
      </c>
      <c r="Z91" s="8" t="s">
        <v>1284</v>
      </c>
      <c r="AA91" s="12" t="str">
        <f t="shared" si="5"/>
        <v>UNK-UNK-UNK-UNK-PM</v>
      </c>
    </row>
    <row r="92" spans="1:27" ht="20" customHeight="1" x14ac:dyDescent="0.35">
      <c r="A92" s="6" t="s">
        <v>1250</v>
      </c>
      <c r="B92" s="6" t="s">
        <v>477</v>
      </c>
      <c r="C92" s="13">
        <v>45377</v>
      </c>
      <c r="D92" s="6" t="s">
        <v>945</v>
      </c>
      <c r="E92" s="6" t="s">
        <v>34</v>
      </c>
      <c r="F92" s="6" t="s">
        <v>1406</v>
      </c>
      <c r="G92" s="7" t="s">
        <v>70</v>
      </c>
      <c r="H92" s="7" t="s">
        <v>1308</v>
      </c>
      <c r="I92" s="8" t="s">
        <v>1252</v>
      </c>
      <c r="J92" s="8" t="s">
        <v>1252</v>
      </c>
      <c r="K92" s="9">
        <v>45377.775694444441</v>
      </c>
      <c r="L92" s="9">
        <v>45377.786111111112</v>
      </c>
      <c r="M92" s="9">
        <v>45377.806944444441</v>
      </c>
      <c r="N92" s="9">
        <v>45378.085416666669</v>
      </c>
      <c r="O92" s="10">
        <f t="shared" si="3"/>
        <v>6.6833333334652707</v>
      </c>
      <c r="P92" s="8">
        <v>0</v>
      </c>
      <c r="Q92" s="8" t="s">
        <v>1263</v>
      </c>
      <c r="R92" s="6" t="s">
        <v>1299</v>
      </c>
      <c r="S92" s="7" t="s">
        <v>1300</v>
      </c>
      <c r="T92" s="8" t="s">
        <v>1256</v>
      </c>
      <c r="U92" s="11">
        <f t="shared" si="4"/>
        <v>1</v>
      </c>
      <c r="V92" s="8" t="s">
        <v>1301</v>
      </c>
      <c r="W92" s="8" t="s">
        <v>1258</v>
      </c>
      <c r="X92" s="8" t="s">
        <v>1302</v>
      </c>
      <c r="Y92" s="8" t="s">
        <v>1260</v>
      </c>
      <c r="Z92" s="8" t="s">
        <v>1270</v>
      </c>
      <c r="AA92" s="12" t="str">
        <f t="shared" si="5"/>
        <v>BRG-DE-VIB-MEC-RPL</v>
      </c>
    </row>
    <row r="93" spans="1:27" ht="20" customHeight="1" x14ac:dyDescent="0.35">
      <c r="A93" s="6" t="s">
        <v>1250</v>
      </c>
      <c r="B93" s="6" t="s">
        <v>482</v>
      </c>
      <c r="C93" s="13">
        <v>45781</v>
      </c>
      <c r="D93" s="6" t="s">
        <v>659</v>
      </c>
      <c r="E93" s="6" t="s">
        <v>60</v>
      </c>
      <c r="F93" s="6" t="s">
        <v>1406</v>
      </c>
      <c r="G93" s="7" t="s">
        <v>313</v>
      </c>
      <c r="H93" s="7" t="s">
        <v>1342</v>
      </c>
      <c r="I93" s="8" t="s">
        <v>1252</v>
      </c>
      <c r="J93" s="8" t="s">
        <v>1252</v>
      </c>
      <c r="K93" s="9">
        <v>45782.01666666667</v>
      </c>
      <c r="L93" s="9">
        <v>45782.027083333327</v>
      </c>
      <c r="M93" s="9">
        <v>45782.04791666667</v>
      </c>
      <c r="N93" s="9">
        <v>45782.328472222223</v>
      </c>
      <c r="O93" s="10">
        <f t="shared" si="3"/>
        <v>6.7333333332790062</v>
      </c>
      <c r="P93" s="8">
        <v>0</v>
      </c>
      <c r="Q93" s="8" t="s">
        <v>1253</v>
      </c>
      <c r="R93" s="6" t="s">
        <v>1280</v>
      </c>
      <c r="S93" s="7" t="s">
        <v>1281</v>
      </c>
      <c r="T93" s="8" t="s">
        <v>1256</v>
      </c>
      <c r="U93" s="11">
        <f t="shared" si="4"/>
        <v>1</v>
      </c>
      <c r="V93" s="8" t="s">
        <v>1282</v>
      </c>
      <c r="W93" s="8" t="s">
        <v>1276</v>
      </c>
      <c r="X93" s="8" t="s">
        <v>1269</v>
      </c>
      <c r="Y93" s="8" t="s">
        <v>1275</v>
      </c>
      <c r="Z93" s="8" t="s">
        <v>1326</v>
      </c>
      <c r="AA93" s="12" t="str">
        <f t="shared" si="5"/>
        <v>IMP-CTRL-BLK-INS-CLN</v>
      </c>
    </row>
    <row r="94" spans="1:27" ht="20" customHeight="1" x14ac:dyDescent="0.35">
      <c r="A94" s="6" t="s">
        <v>1250</v>
      </c>
      <c r="B94" s="6" t="s">
        <v>487</v>
      </c>
      <c r="C94" s="13">
        <v>45509</v>
      </c>
      <c r="D94" s="6" t="s">
        <v>1355</v>
      </c>
      <c r="E94" s="6" t="s">
        <v>41</v>
      </c>
      <c r="F94" s="6" t="s">
        <v>1404</v>
      </c>
      <c r="G94" s="7" t="s">
        <v>194</v>
      </c>
      <c r="H94" s="7" t="s">
        <v>1330</v>
      </c>
      <c r="I94" s="8" t="s">
        <v>1292</v>
      </c>
      <c r="J94" s="8" t="s">
        <v>1293</v>
      </c>
      <c r="K94" s="9">
        <v>45509.379166666673</v>
      </c>
      <c r="L94" s="9">
        <v>45509.38958333333</v>
      </c>
      <c r="M94" s="9">
        <v>45509.410416666673</v>
      </c>
      <c r="N94" s="9">
        <v>45509.48333333333</v>
      </c>
      <c r="O94" s="10">
        <f t="shared" si="3"/>
        <v>1.7499999997671694</v>
      </c>
      <c r="P94" s="8">
        <v>0</v>
      </c>
      <c r="Q94" s="8" t="s">
        <v>1263</v>
      </c>
      <c r="R94" s="6" t="s">
        <v>1294</v>
      </c>
      <c r="S94" s="7" t="s">
        <v>1295</v>
      </c>
      <c r="T94" s="8" t="s">
        <v>1266</v>
      </c>
      <c r="U94" s="11">
        <f t="shared" si="4"/>
        <v>0</v>
      </c>
      <c r="V94" s="8" t="s">
        <v>1296</v>
      </c>
      <c r="W94" s="8" t="s">
        <v>1296</v>
      </c>
      <c r="X94" s="8" t="s">
        <v>1296</v>
      </c>
      <c r="Y94" s="8" t="s">
        <v>1296</v>
      </c>
      <c r="Z94" s="8" t="s">
        <v>1326</v>
      </c>
      <c r="AA94" s="12" t="str">
        <f t="shared" si="5"/>
        <v>UNK-UNK-UNK-UNK-CLN</v>
      </c>
    </row>
    <row r="95" spans="1:27" ht="20" customHeight="1" x14ac:dyDescent="0.35">
      <c r="A95" s="6" t="s">
        <v>1250</v>
      </c>
      <c r="B95" s="6" t="s">
        <v>491</v>
      </c>
      <c r="C95" s="13">
        <v>45344</v>
      </c>
      <c r="D95" s="6" t="s">
        <v>1335</v>
      </c>
      <c r="E95" s="6" t="s">
        <v>41</v>
      </c>
      <c r="F95" s="6" t="s">
        <v>1404</v>
      </c>
      <c r="G95" s="7" t="s">
        <v>378</v>
      </c>
      <c r="H95" s="7" t="s">
        <v>1352</v>
      </c>
      <c r="I95" s="8" t="s">
        <v>1292</v>
      </c>
      <c r="J95" s="8" t="s">
        <v>1293</v>
      </c>
      <c r="K95" s="9">
        <v>45344.375</v>
      </c>
      <c r="L95" s="9">
        <v>45344.385416666657</v>
      </c>
      <c r="M95" s="9">
        <v>45344.40625</v>
      </c>
      <c r="N95" s="9">
        <v>45344.410416666673</v>
      </c>
      <c r="O95" s="10">
        <f t="shared" si="3"/>
        <v>0.10000000015133992</v>
      </c>
      <c r="P95" s="8">
        <v>0</v>
      </c>
      <c r="Q95" s="8" t="s">
        <v>1263</v>
      </c>
      <c r="R95" s="6" t="s">
        <v>1294</v>
      </c>
      <c r="S95" s="7" t="s">
        <v>1295</v>
      </c>
      <c r="T95" s="8" t="s">
        <v>1256</v>
      </c>
      <c r="U95" s="11">
        <f t="shared" si="4"/>
        <v>0</v>
      </c>
      <c r="V95" s="8" t="s">
        <v>1296</v>
      </c>
      <c r="W95" s="8" t="s">
        <v>1296</v>
      </c>
      <c r="X95" s="8" t="s">
        <v>1296</v>
      </c>
      <c r="Y95" s="8" t="s">
        <v>1296</v>
      </c>
      <c r="Z95" s="8" t="s">
        <v>1261</v>
      </c>
      <c r="AA95" s="12" t="str">
        <f t="shared" si="5"/>
        <v>UNK-UNK-UNK-UNK-INSP</v>
      </c>
    </row>
    <row r="96" spans="1:27" ht="20" customHeight="1" x14ac:dyDescent="0.35">
      <c r="A96" s="6" t="s">
        <v>1250</v>
      </c>
      <c r="B96" s="6" t="s">
        <v>495</v>
      </c>
      <c r="C96" s="13">
        <v>45227</v>
      </c>
      <c r="D96" s="6" t="s">
        <v>497</v>
      </c>
      <c r="E96" s="6" t="s">
        <v>60</v>
      </c>
      <c r="F96" s="6" t="s">
        <v>144</v>
      </c>
      <c r="G96" s="7" t="s">
        <v>498</v>
      </c>
      <c r="H96" s="7" t="s">
        <v>1369</v>
      </c>
      <c r="I96" s="8" t="s">
        <v>1272</v>
      </c>
      <c r="J96" s="8" t="s">
        <v>1252</v>
      </c>
      <c r="K96" s="9">
        <v>45227.638194444437</v>
      </c>
      <c r="L96" s="9">
        <v>45227.648611111108</v>
      </c>
      <c r="M96" s="9">
        <v>45227.669444444437</v>
      </c>
      <c r="N96" s="9">
        <v>45227.72152777778</v>
      </c>
      <c r="O96" s="10">
        <f t="shared" si="3"/>
        <v>1.2500000002328306</v>
      </c>
      <c r="P96" s="8">
        <v>0</v>
      </c>
      <c r="Q96" s="8" t="s">
        <v>1263</v>
      </c>
      <c r="R96" s="6" t="s">
        <v>1273</v>
      </c>
      <c r="S96" s="7" t="s">
        <v>1274</v>
      </c>
      <c r="T96" s="8" t="s">
        <v>1266</v>
      </c>
      <c r="U96" s="11">
        <f t="shared" si="4"/>
        <v>1</v>
      </c>
      <c r="V96" s="8" t="s">
        <v>1305</v>
      </c>
      <c r="W96" s="8" t="s">
        <v>1276</v>
      </c>
      <c r="X96" s="8" t="s">
        <v>1306</v>
      </c>
      <c r="Y96" s="8" t="s">
        <v>1290</v>
      </c>
      <c r="Z96" s="8" t="s">
        <v>1278</v>
      </c>
      <c r="AA96" s="12" t="str">
        <f t="shared" si="5"/>
        <v>SYS-CTRL-TRP-CTL-RST</v>
      </c>
    </row>
    <row r="97" spans="1:27" ht="20" customHeight="1" x14ac:dyDescent="0.35">
      <c r="A97" s="6" t="s">
        <v>1250</v>
      </c>
      <c r="B97" s="6" t="s">
        <v>500</v>
      </c>
      <c r="C97" s="13">
        <v>45205</v>
      </c>
      <c r="D97" s="6" t="s">
        <v>1031</v>
      </c>
      <c r="E97" s="6" t="s">
        <v>21</v>
      </c>
      <c r="F97" s="6" t="s">
        <v>144</v>
      </c>
      <c r="G97" s="7" t="s">
        <v>313</v>
      </c>
      <c r="H97" s="7" t="s">
        <v>1342</v>
      </c>
      <c r="I97" s="8" t="s">
        <v>1252</v>
      </c>
      <c r="J97" s="8" t="s">
        <v>1252</v>
      </c>
      <c r="K97" s="9">
        <v>45205.293749999997</v>
      </c>
      <c r="L97" s="9">
        <v>45205.304166666669</v>
      </c>
      <c r="M97" s="9">
        <v>45205.324999999997</v>
      </c>
      <c r="N97" s="9">
        <v>45205.417361111111</v>
      </c>
      <c r="O97" s="10">
        <f t="shared" si="3"/>
        <v>2.2166666667326353</v>
      </c>
      <c r="P97" s="8">
        <v>0</v>
      </c>
      <c r="Q97" s="8" t="s">
        <v>1263</v>
      </c>
      <c r="R97" s="6" t="s">
        <v>1280</v>
      </c>
      <c r="S97" s="7" t="s">
        <v>1281</v>
      </c>
      <c r="T97" s="8" t="s">
        <v>1256</v>
      </c>
      <c r="U97" s="11">
        <f t="shared" si="4"/>
        <v>1</v>
      </c>
      <c r="V97" s="8" t="s">
        <v>1282</v>
      </c>
      <c r="W97" s="8" t="s">
        <v>1276</v>
      </c>
      <c r="X97" s="8" t="s">
        <v>1269</v>
      </c>
      <c r="Y97" s="8" t="s">
        <v>1275</v>
      </c>
      <c r="Z97" s="8" t="s">
        <v>1326</v>
      </c>
      <c r="AA97" s="12" t="str">
        <f t="shared" si="5"/>
        <v>IMP-CTRL-BLK-INS-CLN</v>
      </c>
    </row>
    <row r="98" spans="1:27" ht="20" customHeight="1" x14ac:dyDescent="0.35">
      <c r="A98" s="6" t="s">
        <v>1250</v>
      </c>
      <c r="B98" s="6" t="s">
        <v>505</v>
      </c>
      <c r="C98" s="13">
        <v>45533</v>
      </c>
      <c r="D98" s="6" t="s">
        <v>1370</v>
      </c>
      <c r="E98" s="6" t="s">
        <v>34</v>
      </c>
      <c r="F98" s="6" t="s">
        <v>144</v>
      </c>
      <c r="G98" s="7" t="s">
        <v>508</v>
      </c>
      <c r="H98" s="7" t="s">
        <v>1283</v>
      </c>
      <c r="I98" s="8" t="s">
        <v>1284</v>
      </c>
      <c r="J98" s="8" t="s">
        <v>1285</v>
      </c>
      <c r="K98" s="9">
        <v>45533.5</v>
      </c>
      <c r="L98" s="9">
        <v>45533.5</v>
      </c>
      <c r="M98" s="9">
        <v>45533.5</v>
      </c>
      <c r="N98" s="9">
        <v>45533.5625</v>
      </c>
      <c r="O98" s="10">
        <f t="shared" si="3"/>
        <v>1.5</v>
      </c>
      <c r="P98" s="8">
        <v>1</v>
      </c>
      <c r="Q98" s="8" t="s">
        <v>1263</v>
      </c>
      <c r="R98" s="6" t="s">
        <v>1286</v>
      </c>
      <c r="S98" s="7" t="s">
        <v>1287</v>
      </c>
      <c r="T98" s="8" t="s">
        <v>1266</v>
      </c>
      <c r="U98" s="11">
        <f t="shared" si="4"/>
        <v>0</v>
      </c>
      <c r="V98" s="8" t="s">
        <v>1275</v>
      </c>
      <c r="W98" s="8" t="s">
        <v>1276</v>
      </c>
      <c r="X98" s="8" t="s">
        <v>1277</v>
      </c>
      <c r="Y98" s="8" t="s">
        <v>1275</v>
      </c>
      <c r="Z98" s="8" t="s">
        <v>1297</v>
      </c>
      <c r="AA98" s="12" t="str">
        <f t="shared" si="5"/>
        <v>INS-CTRL-DRF-INS-ADJ</v>
      </c>
    </row>
    <row r="99" spans="1:27" ht="20" customHeight="1" x14ac:dyDescent="0.35">
      <c r="A99" s="6" t="s">
        <v>1250</v>
      </c>
      <c r="B99" s="6" t="s">
        <v>510</v>
      </c>
      <c r="C99" s="13">
        <v>45499</v>
      </c>
      <c r="D99" s="6" t="s">
        <v>169</v>
      </c>
      <c r="E99" s="6" t="s">
        <v>14</v>
      </c>
      <c r="F99" s="6" t="s">
        <v>1406</v>
      </c>
      <c r="G99" s="7" t="s">
        <v>512</v>
      </c>
      <c r="H99" s="7" t="s">
        <v>1283</v>
      </c>
      <c r="I99" s="8" t="s">
        <v>1284</v>
      </c>
      <c r="J99" s="8" t="s">
        <v>1285</v>
      </c>
      <c r="K99" s="9">
        <v>45499.486805555563</v>
      </c>
      <c r="L99" s="9">
        <v>45499.486805555563</v>
      </c>
      <c r="M99" s="9">
        <v>45499.486805555563</v>
      </c>
      <c r="N99" s="9">
        <v>45499.549305555563</v>
      </c>
      <c r="O99" s="10">
        <f t="shared" si="3"/>
        <v>1.5</v>
      </c>
      <c r="P99" s="8">
        <v>1</v>
      </c>
      <c r="Q99" s="8" t="s">
        <v>1263</v>
      </c>
      <c r="R99" s="6" t="s">
        <v>1286</v>
      </c>
      <c r="S99" s="7" t="s">
        <v>1287</v>
      </c>
      <c r="T99" s="8" t="s">
        <v>1266</v>
      </c>
      <c r="U99" s="11">
        <f t="shared" si="4"/>
        <v>0</v>
      </c>
      <c r="V99" s="8" t="s">
        <v>1282</v>
      </c>
      <c r="W99" s="8" t="s">
        <v>1276</v>
      </c>
      <c r="X99" s="8" t="s">
        <v>1269</v>
      </c>
      <c r="Y99" s="8" t="s">
        <v>1275</v>
      </c>
      <c r="Z99" s="8" t="s">
        <v>1284</v>
      </c>
      <c r="AA99" s="12" t="str">
        <f t="shared" si="5"/>
        <v>IMP-CTRL-BLK-INS-PM</v>
      </c>
    </row>
    <row r="100" spans="1:27" ht="20" customHeight="1" x14ac:dyDescent="0.35">
      <c r="A100" s="6" t="s">
        <v>1250</v>
      </c>
      <c r="B100" s="6" t="s">
        <v>514</v>
      </c>
      <c r="C100" s="13">
        <v>45806</v>
      </c>
      <c r="D100" s="6" t="s">
        <v>516</v>
      </c>
      <c r="E100" s="6" t="s">
        <v>41</v>
      </c>
      <c r="F100" s="6" t="s">
        <v>1408</v>
      </c>
      <c r="G100" s="7" t="s">
        <v>82</v>
      </c>
      <c r="H100" s="7" t="s">
        <v>1311</v>
      </c>
      <c r="I100" s="8" t="s">
        <v>1292</v>
      </c>
      <c r="J100" s="8" t="s">
        <v>1293</v>
      </c>
      <c r="K100" s="9">
        <v>45806.31527777778</v>
      </c>
      <c r="L100" s="9">
        <v>45806.325694444437</v>
      </c>
      <c r="M100" s="9">
        <v>45806.34652777778</v>
      </c>
      <c r="N100" s="9">
        <v>45806.45</v>
      </c>
      <c r="O100" s="10">
        <f t="shared" si="3"/>
        <v>2.4833333332207985</v>
      </c>
      <c r="P100" s="8">
        <v>0</v>
      </c>
      <c r="Q100" s="8" t="s">
        <v>1253</v>
      </c>
      <c r="R100" s="6" t="s">
        <v>1294</v>
      </c>
      <c r="S100" s="7" t="s">
        <v>1295</v>
      </c>
      <c r="T100" s="8" t="s">
        <v>1256</v>
      </c>
      <c r="U100" s="11">
        <f t="shared" si="4"/>
        <v>0</v>
      </c>
      <c r="V100" s="8" t="s">
        <v>1288</v>
      </c>
      <c r="W100" s="8" t="s">
        <v>1276</v>
      </c>
      <c r="X100" s="8" t="s">
        <v>1289</v>
      </c>
      <c r="Y100" s="8" t="s">
        <v>1290</v>
      </c>
      <c r="Z100" s="8" t="s">
        <v>1312</v>
      </c>
      <c r="AA100" s="12" t="str">
        <f t="shared" si="5"/>
        <v>ACT-CTRL-STK-CTL-REP</v>
      </c>
    </row>
    <row r="101" spans="1:27" ht="20" customHeight="1" x14ac:dyDescent="0.35">
      <c r="A101" s="6" t="s">
        <v>1250</v>
      </c>
      <c r="B101" s="6" t="s">
        <v>519</v>
      </c>
      <c r="C101" s="13">
        <v>45610</v>
      </c>
      <c r="D101" s="6" t="s">
        <v>353</v>
      </c>
      <c r="E101" s="6" t="s">
        <v>60</v>
      </c>
      <c r="F101" s="6" t="s">
        <v>1406</v>
      </c>
      <c r="G101" s="7" t="s">
        <v>76</v>
      </c>
      <c r="H101" s="7" t="s">
        <v>1310</v>
      </c>
      <c r="I101" s="8" t="s">
        <v>1272</v>
      </c>
      <c r="J101" s="8" t="s">
        <v>1252</v>
      </c>
      <c r="K101" s="9">
        <v>45609.993055555547</v>
      </c>
      <c r="L101" s="9">
        <v>45610.003472222219</v>
      </c>
      <c r="M101" s="9">
        <v>45610.024305555547</v>
      </c>
      <c r="N101" s="9">
        <v>45610.078472222223</v>
      </c>
      <c r="O101" s="10">
        <f t="shared" si="3"/>
        <v>1.3000000002211891</v>
      </c>
      <c r="P101" s="8">
        <v>0</v>
      </c>
      <c r="Q101" s="8" t="s">
        <v>1253</v>
      </c>
      <c r="R101" s="6" t="s">
        <v>1273</v>
      </c>
      <c r="S101" s="7" t="s">
        <v>1274</v>
      </c>
      <c r="T101" s="8" t="s">
        <v>1256</v>
      </c>
      <c r="U101" s="11">
        <f t="shared" si="4"/>
        <v>1</v>
      </c>
      <c r="V101" s="8" t="s">
        <v>1275</v>
      </c>
      <c r="W101" s="8" t="s">
        <v>1276</v>
      </c>
      <c r="X101" s="8" t="s">
        <v>1277</v>
      </c>
      <c r="Y101" s="8" t="s">
        <v>1275</v>
      </c>
      <c r="Z101" s="8" t="s">
        <v>1278</v>
      </c>
      <c r="AA101" s="12" t="str">
        <f t="shared" si="5"/>
        <v>INS-CTRL-DRF-INS-RST</v>
      </c>
    </row>
    <row r="102" spans="1:27" ht="20" customHeight="1" x14ac:dyDescent="0.35">
      <c r="A102" s="6" t="s">
        <v>1250</v>
      </c>
      <c r="B102" s="6" t="s">
        <v>524</v>
      </c>
      <c r="C102" s="13">
        <v>45345</v>
      </c>
      <c r="D102" s="6" t="s">
        <v>270</v>
      </c>
      <c r="E102" s="6" t="s">
        <v>41</v>
      </c>
      <c r="F102" s="6" t="s">
        <v>1407</v>
      </c>
      <c r="G102" s="7" t="s">
        <v>526</v>
      </c>
      <c r="H102" s="7" t="s">
        <v>1371</v>
      </c>
      <c r="I102" s="8" t="s">
        <v>1292</v>
      </c>
      <c r="J102" s="8" t="s">
        <v>1293</v>
      </c>
      <c r="K102" s="9">
        <v>45345.362500000003</v>
      </c>
      <c r="L102" s="9">
        <v>45345.372916666667</v>
      </c>
      <c r="M102" s="9">
        <v>45345.393750000003</v>
      </c>
      <c r="N102" s="9">
        <v>45345.875</v>
      </c>
      <c r="O102" s="10">
        <f t="shared" si="3"/>
        <v>11.549999999930151</v>
      </c>
      <c r="P102" s="8">
        <v>0</v>
      </c>
      <c r="Q102" s="8" t="s">
        <v>1263</v>
      </c>
      <c r="R102" s="6" t="s">
        <v>1294</v>
      </c>
      <c r="S102" s="7" t="s">
        <v>1295</v>
      </c>
      <c r="T102" s="8" t="s">
        <v>1256</v>
      </c>
      <c r="U102" s="11">
        <f t="shared" si="4"/>
        <v>0</v>
      </c>
      <c r="V102" s="8" t="s">
        <v>1296</v>
      </c>
      <c r="W102" s="8" t="s">
        <v>1296</v>
      </c>
      <c r="X102" s="8" t="s">
        <v>1296</v>
      </c>
      <c r="Y102" s="8" t="s">
        <v>1296</v>
      </c>
      <c r="Z102" s="8" t="s">
        <v>1261</v>
      </c>
      <c r="AA102" s="12" t="str">
        <f t="shared" si="5"/>
        <v>UNK-UNK-UNK-UNK-INSP</v>
      </c>
    </row>
    <row r="103" spans="1:27" ht="20" customHeight="1" x14ac:dyDescent="0.35">
      <c r="A103" s="6" t="s">
        <v>1250</v>
      </c>
      <c r="B103" s="6" t="s">
        <v>529</v>
      </c>
      <c r="C103" s="13">
        <v>45955</v>
      </c>
      <c r="D103" s="6" t="s">
        <v>1362</v>
      </c>
      <c r="E103" s="6" t="s">
        <v>47</v>
      </c>
      <c r="F103" s="6" t="s">
        <v>1404</v>
      </c>
      <c r="G103" s="7" t="s">
        <v>532</v>
      </c>
      <c r="H103" s="7" t="s">
        <v>1283</v>
      </c>
      <c r="I103" s="8" t="s">
        <v>1284</v>
      </c>
      <c r="J103" s="8" t="s">
        <v>1285</v>
      </c>
      <c r="K103" s="9">
        <v>45955.583333333343</v>
      </c>
      <c r="L103" s="9">
        <v>45955.583333333343</v>
      </c>
      <c r="M103" s="9">
        <v>45955.583333333343</v>
      </c>
      <c r="N103" s="9">
        <v>45955.656944444447</v>
      </c>
      <c r="O103" s="10">
        <f t="shared" si="3"/>
        <v>1.7666666664881632</v>
      </c>
      <c r="P103" s="8">
        <v>1</v>
      </c>
      <c r="Q103" s="8" t="s">
        <v>1263</v>
      </c>
      <c r="R103" s="6" t="s">
        <v>1286</v>
      </c>
      <c r="S103" s="7" t="s">
        <v>1287</v>
      </c>
      <c r="T103" s="8" t="s">
        <v>1256</v>
      </c>
      <c r="U103" s="11">
        <f t="shared" si="4"/>
        <v>0</v>
      </c>
      <c r="V103" s="8" t="s">
        <v>1322</v>
      </c>
      <c r="W103" s="8" t="s">
        <v>1258</v>
      </c>
      <c r="X103" s="8" t="s">
        <v>1323</v>
      </c>
      <c r="Y103" s="8" t="s">
        <v>1260</v>
      </c>
      <c r="Z103" s="8" t="s">
        <v>1326</v>
      </c>
      <c r="AA103" s="12" t="str">
        <f t="shared" si="5"/>
        <v>SEA-DE-LEK-MEC-CLN</v>
      </c>
    </row>
    <row r="104" spans="1:27" ht="20" customHeight="1" x14ac:dyDescent="0.35">
      <c r="A104" s="6" t="s">
        <v>1250</v>
      </c>
      <c r="B104" s="6" t="s">
        <v>535</v>
      </c>
      <c r="C104" s="13">
        <v>45113</v>
      </c>
      <c r="D104" s="6" t="s">
        <v>1362</v>
      </c>
      <c r="E104" s="6" t="s">
        <v>47</v>
      </c>
      <c r="F104" s="6" t="s">
        <v>33</v>
      </c>
      <c r="G104" s="7" t="s">
        <v>82</v>
      </c>
      <c r="H104" s="7" t="s">
        <v>1311</v>
      </c>
      <c r="I104" s="8" t="s">
        <v>1292</v>
      </c>
      <c r="J104" s="8" t="s">
        <v>1293</v>
      </c>
      <c r="K104" s="9">
        <v>45113.232638888891</v>
      </c>
      <c r="L104" s="9">
        <v>45113.243055555547</v>
      </c>
      <c r="M104" s="9">
        <v>45113.263888888891</v>
      </c>
      <c r="N104" s="9">
        <v>45113.479166666657</v>
      </c>
      <c r="O104" s="10">
        <f t="shared" si="3"/>
        <v>5.1666666663950309</v>
      </c>
      <c r="P104" s="8">
        <v>0</v>
      </c>
      <c r="Q104" s="8" t="s">
        <v>1263</v>
      </c>
      <c r="R104" s="6" t="s">
        <v>1294</v>
      </c>
      <c r="S104" s="7" t="s">
        <v>1295</v>
      </c>
      <c r="T104" s="8" t="s">
        <v>1256</v>
      </c>
      <c r="U104" s="11">
        <f t="shared" si="4"/>
        <v>0</v>
      </c>
      <c r="V104" s="8" t="s">
        <v>1296</v>
      </c>
      <c r="W104" s="8" t="s">
        <v>1296</v>
      </c>
      <c r="X104" s="8" t="s">
        <v>1296</v>
      </c>
      <c r="Y104" s="8" t="s">
        <v>1296</v>
      </c>
      <c r="Z104" s="8" t="s">
        <v>1312</v>
      </c>
      <c r="AA104" s="12" t="str">
        <f t="shared" si="5"/>
        <v>UNK-UNK-UNK-UNK-REP</v>
      </c>
    </row>
    <row r="105" spans="1:27" ht="20" customHeight="1" x14ac:dyDescent="0.35">
      <c r="A105" s="6" t="s">
        <v>1250</v>
      </c>
      <c r="B105" s="6" t="s">
        <v>538</v>
      </c>
      <c r="C105" s="13">
        <v>45713</v>
      </c>
      <c r="D105" s="6" t="s">
        <v>1354</v>
      </c>
      <c r="E105" s="6" t="s">
        <v>21</v>
      </c>
      <c r="F105" s="6" t="s">
        <v>1407</v>
      </c>
      <c r="G105" s="7" t="s">
        <v>132</v>
      </c>
      <c r="H105" s="7" t="s">
        <v>1327</v>
      </c>
      <c r="I105" s="8" t="s">
        <v>1292</v>
      </c>
      <c r="J105" s="8" t="s">
        <v>1293</v>
      </c>
      <c r="K105" s="9">
        <v>45713.333333333343</v>
      </c>
      <c r="L105" s="9">
        <v>45713.34375</v>
      </c>
      <c r="M105" s="9">
        <v>45713.364583333343</v>
      </c>
      <c r="N105" s="9">
        <v>45713.416666666657</v>
      </c>
      <c r="O105" s="10">
        <f t="shared" si="3"/>
        <v>1.2499999995343387</v>
      </c>
      <c r="P105" s="8">
        <v>0</v>
      </c>
      <c r="Q105" s="8" t="s">
        <v>1263</v>
      </c>
      <c r="R105" s="6" t="s">
        <v>1294</v>
      </c>
      <c r="S105" s="7" t="s">
        <v>1295</v>
      </c>
      <c r="T105" s="8" t="s">
        <v>1372</v>
      </c>
      <c r="U105" s="11">
        <f t="shared" si="4"/>
        <v>0</v>
      </c>
      <c r="V105" s="8" t="s">
        <v>1296</v>
      </c>
      <c r="W105" s="8" t="s">
        <v>1296</v>
      </c>
      <c r="X105" s="8" t="s">
        <v>1296</v>
      </c>
      <c r="Y105" s="8" t="s">
        <v>1296</v>
      </c>
      <c r="Z105" s="8" t="s">
        <v>1312</v>
      </c>
      <c r="AA105" s="12" t="str">
        <f t="shared" si="5"/>
        <v>UNK-UNK-UNK-UNK-REP</v>
      </c>
    </row>
    <row r="106" spans="1:27" ht="20" customHeight="1" x14ac:dyDescent="0.35">
      <c r="A106" s="6" t="s">
        <v>1250</v>
      </c>
      <c r="B106" s="6" t="s">
        <v>541</v>
      </c>
      <c r="C106" s="13">
        <v>45985</v>
      </c>
      <c r="D106" s="6" t="s">
        <v>1222</v>
      </c>
      <c r="E106" s="6" t="s">
        <v>47</v>
      </c>
      <c r="F106" s="6" t="s">
        <v>1405</v>
      </c>
      <c r="G106" s="7" t="s">
        <v>116</v>
      </c>
      <c r="H106" s="7" t="s">
        <v>1324</v>
      </c>
      <c r="I106" s="8" t="s">
        <v>1292</v>
      </c>
      <c r="J106" s="8" t="s">
        <v>1293</v>
      </c>
      <c r="K106" s="9">
        <v>45985.491666666669</v>
      </c>
      <c r="L106" s="9">
        <v>45985.502083333333</v>
      </c>
      <c r="M106" s="9">
        <v>45985.522916666669</v>
      </c>
      <c r="N106" s="9">
        <v>45985.960416666669</v>
      </c>
      <c r="O106" s="10">
        <f t="shared" si="3"/>
        <v>10.5</v>
      </c>
      <c r="P106" s="8">
        <v>0</v>
      </c>
      <c r="Q106" s="8" t="s">
        <v>1253</v>
      </c>
      <c r="R106" s="6" t="s">
        <v>1294</v>
      </c>
      <c r="S106" s="7" t="s">
        <v>1295</v>
      </c>
      <c r="T106" s="8" t="s">
        <v>1256</v>
      </c>
      <c r="U106" s="11">
        <f t="shared" si="4"/>
        <v>0</v>
      </c>
      <c r="V106" s="8" t="s">
        <v>1296</v>
      </c>
      <c r="W106" s="8" t="s">
        <v>1296</v>
      </c>
      <c r="X106" s="8" t="s">
        <v>1296</v>
      </c>
      <c r="Y106" s="8" t="s">
        <v>1296</v>
      </c>
      <c r="Z106" s="8" t="s">
        <v>1312</v>
      </c>
      <c r="AA106" s="12" t="str">
        <f t="shared" si="5"/>
        <v>UNK-UNK-UNK-UNK-REP</v>
      </c>
    </row>
    <row r="107" spans="1:27" ht="20" customHeight="1" x14ac:dyDescent="0.35">
      <c r="A107" s="6" t="s">
        <v>1250</v>
      </c>
      <c r="B107" s="6" t="s">
        <v>546</v>
      </c>
      <c r="C107" s="13">
        <v>45967</v>
      </c>
      <c r="D107" s="6" t="s">
        <v>270</v>
      </c>
      <c r="E107" s="6" t="s">
        <v>41</v>
      </c>
      <c r="F107" s="6" t="s">
        <v>1405</v>
      </c>
      <c r="G107" s="7" t="s">
        <v>194</v>
      </c>
      <c r="H107" s="7" t="s">
        <v>1330</v>
      </c>
      <c r="I107" s="8" t="s">
        <v>1292</v>
      </c>
      <c r="J107" s="8" t="s">
        <v>1293</v>
      </c>
      <c r="K107" s="9">
        <v>45967.583333333343</v>
      </c>
      <c r="L107" s="9">
        <v>45967.59375</v>
      </c>
      <c r="M107" s="9">
        <v>45967.614583333343</v>
      </c>
      <c r="N107" s="9">
        <v>45967.618055555547</v>
      </c>
      <c r="O107" s="10">
        <f t="shared" si="3"/>
        <v>8.3333332906477153E-2</v>
      </c>
      <c r="P107" s="8">
        <v>0</v>
      </c>
      <c r="Q107" s="8" t="s">
        <v>1263</v>
      </c>
      <c r="R107" s="6" t="s">
        <v>1294</v>
      </c>
      <c r="S107" s="7" t="s">
        <v>1295</v>
      </c>
      <c r="T107" s="8" t="s">
        <v>1256</v>
      </c>
      <c r="U107" s="11">
        <f t="shared" si="4"/>
        <v>0</v>
      </c>
      <c r="V107" s="8" t="s">
        <v>1296</v>
      </c>
      <c r="W107" s="8" t="s">
        <v>1296</v>
      </c>
      <c r="X107" s="8" t="s">
        <v>1296</v>
      </c>
      <c r="Y107" s="8" t="s">
        <v>1296</v>
      </c>
      <c r="Z107" s="8" t="s">
        <v>1326</v>
      </c>
      <c r="AA107" s="12" t="str">
        <f t="shared" si="5"/>
        <v>UNK-UNK-UNK-UNK-CLN</v>
      </c>
    </row>
    <row r="108" spans="1:27" ht="20" customHeight="1" x14ac:dyDescent="0.35">
      <c r="A108" s="6" t="s">
        <v>1250</v>
      </c>
      <c r="B108" s="6" t="s">
        <v>550</v>
      </c>
      <c r="C108" s="13">
        <v>45865</v>
      </c>
      <c r="D108" s="6" t="s">
        <v>552</v>
      </c>
      <c r="E108" s="6" t="s">
        <v>60</v>
      </c>
      <c r="F108" s="6" t="s">
        <v>1406</v>
      </c>
      <c r="G108" s="7" t="s">
        <v>553</v>
      </c>
      <c r="H108" s="7" t="s">
        <v>1373</v>
      </c>
      <c r="I108" s="8" t="s">
        <v>1292</v>
      </c>
      <c r="J108" s="8" t="s">
        <v>1293</v>
      </c>
      <c r="K108" s="9">
        <v>45865.869444444441</v>
      </c>
      <c r="L108" s="9">
        <v>45865.879861111112</v>
      </c>
      <c r="M108" s="9">
        <v>45865.900694444441</v>
      </c>
      <c r="N108" s="9">
        <v>45865.989583333343</v>
      </c>
      <c r="O108" s="10">
        <f t="shared" si="3"/>
        <v>2.1333333336515352</v>
      </c>
      <c r="P108" s="8">
        <v>0</v>
      </c>
      <c r="Q108" s="8" t="s">
        <v>1253</v>
      </c>
      <c r="R108" s="6" t="s">
        <v>1294</v>
      </c>
      <c r="S108" s="7" t="s">
        <v>1295</v>
      </c>
      <c r="T108" s="8" t="s">
        <v>1256</v>
      </c>
      <c r="U108" s="11">
        <f t="shared" si="4"/>
        <v>0</v>
      </c>
      <c r="V108" s="8" t="s">
        <v>1296</v>
      </c>
      <c r="W108" s="8" t="s">
        <v>1296</v>
      </c>
      <c r="X108" s="8" t="s">
        <v>1296</v>
      </c>
      <c r="Y108" s="8" t="s">
        <v>1296</v>
      </c>
      <c r="Z108" s="8" t="s">
        <v>1261</v>
      </c>
      <c r="AA108" s="12" t="str">
        <f t="shared" si="5"/>
        <v>UNK-UNK-UNK-UNK-INSP</v>
      </c>
    </row>
    <row r="109" spans="1:27" ht="20" customHeight="1" x14ac:dyDescent="0.35">
      <c r="A109" s="6" t="s">
        <v>1250</v>
      </c>
      <c r="B109" s="6" t="s">
        <v>556</v>
      </c>
      <c r="C109" s="13">
        <v>45570</v>
      </c>
      <c r="D109" s="6" t="s">
        <v>342</v>
      </c>
      <c r="E109" s="6" t="s">
        <v>47</v>
      </c>
      <c r="F109" s="6" t="s">
        <v>1407</v>
      </c>
      <c r="G109" s="7" t="s">
        <v>116</v>
      </c>
      <c r="H109" s="7" t="s">
        <v>1324</v>
      </c>
      <c r="I109" s="8" t="s">
        <v>1292</v>
      </c>
      <c r="J109" s="8" t="s">
        <v>1293</v>
      </c>
      <c r="K109" s="9">
        <v>45570.131249999999</v>
      </c>
      <c r="L109" s="9">
        <v>45570.14166666667</v>
      </c>
      <c r="M109" s="9">
        <v>45570.162499999999</v>
      </c>
      <c r="N109" s="9">
        <v>45570.790972222218</v>
      </c>
      <c r="O109" s="10">
        <f t="shared" si="3"/>
        <v>15.083333333255723</v>
      </c>
      <c r="P109" s="8">
        <v>0</v>
      </c>
      <c r="Q109" s="8" t="s">
        <v>1263</v>
      </c>
      <c r="R109" s="6" t="s">
        <v>1294</v>
      </c>
      <c r="S109" s="7" t="s">
        <v>1295</v>
      </c>
      <c r="T109" s="8" t="s">
        <v>1256</v>
      </c>
      <c r="U109" s="11">
        <f t="shared" si="4"/>
        <v>0</v>
      </c>
      <c r="V109" s="8" t="s">
        <v>1296</v>
      </c>
      <c r="W109" s="8" t="s">
        <v>1296</v>
      </c>
      <c r="X109" s="8" t="s">
        <v>1296</v>
      </c>
      <c r="Y109" s="8" t="s">
        <v>1296</v>
      </c>
      <c r="Z109" s="8" t="s">
        <v>1312</v>
      </c>
      <c r="AA109" s="12" t="str">
        <f t="shared" si="5"/>
        <v>UNK-UNK-UNK-UNK-REP</v>
      </c>
    </row>
    <row r="110" spans="1:27" ht="20" customHeight="1" x14ac:dyDescent="0.35">
      <c r="A110" s="6" t="s">
        <v>1250</v>
      </c>
      <c r="B110" s="6" t="s">
        <v>560</v>
      </c>
      <c r="C110" s="13">
        <v>45518</v>
      </c>
      <c r="D110" s="6" t="s">
        <v>562</v>
      </c>
      <c r="E110" s="6" t="s">
        <v>47</v>
      </c>
      <c r="F110" s="6" t="s">
        <v>144</v>
      </c>
      <c r="G110" s="7" t="s">
        <v>563</v>
      </c>
      <c r="H110" s="7" t="s">
        <v>1374</v>
      </c>
      <c r="I110" s="8" t="s">
        <v>1272</v>
      </c>
      <c r="J110" s="8" t="s">
        <v>1252</v>
      </c>
      <c r="K110" s="9">
        <v>45518.588888888888</v>
      </c>
      <c r="L110" s="9">
        <v>45518.599305555559</v>
      </c>
      <c r="M110" s="9">
        <v>45518.620138888888</v>
      </c>
      <c r="N110" s="9">
        <v>45518.672222222223</v>
      </c>
      <c r="O110" s="10">
        <f t="shared" si="3"/>
        <v>1.2500000000582077</v>
      </c>
      <c r="P110" s="8">
        <v>0</v>
      </c>
      <c r="Q110" s="8" t="s">
        <v>1263</v>
      </c>
      <c r="R110" s="6" t="s">
        <v>1273</v>
      </c>
      <c r="S110" s="7" t="s">
        <v>1274</v>
      </c>
      <c r="T110" s="8" t="s">
        <v>1266</v>
      </c>
      <c r="U110" s="11">
        <f t="shared" si="4"/>
        <v>1</v>
      </c>
      <c r="V110" s="8" t="s">
        <v>1275</v>
      </c>
      <c r="W110" s="8" t="s">
        <v>1276</v>
      </c>
      <c r="X110" s="8" t="s">
        <v>1277</v>
      </c>
      <c r="Y110" s="8" t="s">
        <v>1275</v>
      </c>
      <c r="Z110" s="8" t="s">
        <v>1278</v>
      </c>
      <c r="AA110" s="12" t="str">
        <f t="shared" si="5"/>
        <v>INS-CTRL-DRF-INS-RST</v>
      </c>
    </row>
    <row r="111" spans="1:27" ht="20" customHeight="1" x14ac:dyDescent="0.35">
      <c r="A111" s="6" t="s">
        <v>1250</v>
      </c>
      <c r="B111" s="6" t="s">
        <v>565</v>
      </c>
      <c r="C111" s="13">
        <v>44933</v>
      </c>
      <c r="D111" s="6" t="s">
        <v>174</v>
      </c>
      <c r="E111" s="6" t="s">
        <v>47</v>
      </c>
      <c r="F111" s="6" t="s">
        <v>1407</v>
      </c>
      <c r="G111" s="7" t="s">
        <v>121</v>
      </c>
      <c r="H111" s="7" t="s">
        <v>1325</v>
      </c>
      <c r="I111" s="8" t="s">
        <v>1292</v>
      </c>
      <c r="J111" s="8" t="s">
        <v>1293</v>
      </c>
      <c r="K111" s="9">
        <v>44933.5</v>
      </c>
      <c r="L111" s="9">
        <v>44933.510416666657</v>
      </c>
      <c r="M111" s="9">
        <v>44933.53125</v>
      </c>
      <c r="N111" s="9">
        <v>44933.5625</v>
      </c>
      <c r="O111" s="10">
        <f t="shared" si="3"/>
        <v>0.75</v>
      </c>
      <c r="P111" s="8">
        <v>0</v>
      </c>
      <c r="Q111" s="8" t="s">
        <v>1253</v>
      </c>
      <c r="R111" s="6" t="s">
        <v>1294</v>
      </c>
      <c r="S111" s="7" t="s">
        <v>1295</v>
      </c>
      <c r="T111" s="8" t="s">
        <v>1266</v>
      </c>
      <c r="U111" s="11">
        <f t="shared" si="4"/>
        <v>0</v>
      </c>
      <c r="V111" s="8" t="s">
        <v>1296</v>
      </c>
      <c r="W111" s="8" t="s">
        <v>1296</v>
      </c>
      <c r="X111" s="8" t="s">
        <v>1296</v>
      </c>
      <c r="Y111" s="8" t="s">
        <v>1296</v>
      </c>
      <c r="Z111" s="8" t="s">
        <v>1261</v>
      </c>
      <c r="AA111" s="12" t="str">
        <f t="shared" si="5"/>
        <v>UNK-UNK-UNK-UNK-INSP</v>
      </c>
    </row>
    <row r="112" spans="1:27" ht="20" customHeight="1" x14ac:dyDescent="0.35">
      <c r="A112" s="6" t="s">
        <v>1250</v>
      </c>
      <c r="B112" s="6" t="s">
        <v>568</v>
      </c>
      <c r="C112" s="13">
        <v>46021</v>
      </c>
      <c r="D112" s="6" t="s">
        <v>570</v>
      </c>
      <c r="E112" s="6" t="s">
        <v>21</v>
      </c>
      <c r="F112" s="6" t="s">
        <v>20</v>
      </c>
      <c r="G112" s="7" t="s">
        <v>571</v>
      </c>
      <c r="H112" s="7" t="s">
        <v>1283</v>
      </c>
      <c r="I112" s="8" t="s">
        <v>1284</v>
      </c>
      <c r="J112" s="8" t="s">
        <v>1285</v>
      </c>
      <c r="K112" s="9">
        <v>46021.458333333343</v>
      </c>
      <c r="L112" s="9">
        <v>46021.458333333343</v>
      </c>
      <c r="M112" s="9">
        <v>46021.458333333343</v>
      </c>
      <c r="N112" s="9">
        <v>46021.492361111108</v>
      </c>
      <c r="O112" s="10">
        <f t="shared" si="3"/>
        <v>0.81666666636010632</v>
      </c>
      <c r="P112" s="8">
        <v>1</v>
      </c>
      <c r="Q112" s="8" t="s">
        <v>1263</v>
      </c>
      <c r="R112" s="6" t="s">
        <v>1286</v>
      </c>
      <c r="S112" s="7" t="s">
        <v>1287</v>
      </c>
      <c r="T112" s="8" t="s">
        <v>1256</v>
      </c>
      <c r="U112" s="11">
        <f t="shared" si="4"/>
        <v>0</v>
      </c>
      <c r="V112" s="8" t="s">
        <v>1288</v>
      </c>
      <c r="W112" s="8" t="s">
        <v>1276</v>
      </c>
      <c r="X112" s="8" t="s">
        <v>1289</v>
      </c>
      <c r="Y112" s="8" t="s">
        <v>1290</v>
      </c>
      <c r="Z112" s="8" t="s">
        <v>1261</v>
      </c>
      <c r="AA112" s="12" t="str">
        <f t="shared" si="5"/>
        <v>ACT-CTRL-STK-CTL-INSP</v>
      </c>
    </row>
    <row r="113" spans="1:27" ht="20" customHeight="1" x14ac:dyDescent="0.35">
      <c r="A113" s="6" t="s">
        <v>1250</v>
      </c>
      <c r="B113" s="6" t="s">
        <v>574</v>
      </c>
      <c r="C113" s="13">
        <v>45042</v>
      </c>
      <c r="D113" s="6" t="s">
        <v>576</v>
      </c>
      <c r="E113" s="6" t="s">
        <v>60</v>
      </c>
      <c r="F113" s="6" t="s">
        <v>144</v>
      </c>
      <c r="G113" s="7" t="s">
        <v>577</v>
      </c>
      <c r="H113" s="7" t="s">
        <v>1283</v>
      </c>
      <c r="I113" s="8" t="s">
        <v>1284</v>
      </c>
      <c r="J113" s="8" t="s">
        <v>1285</v>
      </c>
      <c r="K113" s="9">
        <v>45042.5</v>
      </c>
      <c r="L113" s="9">
        <v>45042.5</v>
      </c>
      <c r="M113" s="9">
        <v>45042.5</v>
      </c>
      <c r="N113" s="9">
        <v>45042.577777777777</v>
      </c>
      <c r="O113" s="10">
        <f t="shared" si="3"/>
        <v>1.8666666666395031</v>
      </c>
      <c r="P113" s="8">
        <v>1</v>
      </c>
      <c r="Q113" s="8" t="s">
        <v>1263</v>
      </c>
      <c r="R113" s="6" t="s">
        <v>1286</v>
      </c>
      <c r="S113" s="7" t="s">
        <v>1287</v>
      </c>
      <c r="T113" s="8" t="s">
        <v>1256</v>
      </c>
      <c r="U113" s="11">
        <f t="shared" si="4"/>
        <v>0</v>
      </c>
      <c r="V113" s="8" t="s">
        <v>1296</v>
      </c>
      <c r="W113" s="8" t="s">
        <v>1296</v>
      </c>
      <c r="X113" s="8" t="s">
        <v>1296</v>
      </c>
      <c r="Y113" s="8" t="s">
        <v>1296</v>
      </c>
      <c r="Z113" s="8" t="s">
        <v>1270</v>
      </c>
      <c r="AA113" s="12" t="str">
        <f t="shared" si="5"/>
        <v>UNK-UNK-UNK-UNK-RPL</v>
      </c>
    </row>
    <row r="114" spans="1:27" ht="20" customHeight="1" x14ac:dyDescent="0.35">
      <c r="A114" s="6" t="s">
        <v>1250</v>
      </c>
      <c r="B114" s="6" t="s">
        <v>580</v>
      </c>
      <c r="C114" s="13">
        <v>45102</v>
      </c>
      <c r="D114" s="6" t="s">
        <v>44</v>
      </c>
      <c r="E114" s="6" t="s">
        <v>47</v>
      </c>
      <c r="F114" s="6" t="s">
        <v>33</v>
      </c>
      <c r="G114" s="7" t="s">
        <v>581</v>
      </c>
      <c r="H114" s="7" t="s">
        <v>1283</v>
      </c>
      <c r="I114" s="8" t="s">
        <v>1284</v>
      </c>
      <c r="J114" s="8" t="s">
        <v>1285</v>
      </c>
      <c r="K114" s="9">
        <v>45102.541666666657</v>
      </c>
      <c r="L114" s="9">
        <v>45102.541666666657</v>
      </c>
      <c r="M114" s="9">
        <v>45102.541666666657</v>
      </c>
      <c r="N114" s="9">
        <v>45102.594444444447</v>
      </c>
      <c r="O114" s="10">
        <f t="shared" si="3"/>
        <v>1.2666666669538245</v>
      </c>
      <c r="P114" s="8">
        <v>1</v>
      </c>
      <c r="Q114" s="8" t="s">
        <v>1263</v>
      </c>
      <c r="R114" s="6" t="s">
        <v>1286</v>
      </c>
      <c r="S114" s="7" t="s">
        <v>1287</v>
      </c>
      <c r="T114" s="8" t="s">
        <v>1256</v>
      </c>
      <c r="U114" s="11">
        <f t="shared" si="4"/>
        <v>0</v>
      </c>
      <c r="V114" s="8" t="s">
        <v>1296</v>
      </c>
      <c r="W114" s="8" t="s">
        <v>1296</v>
      </c>
      <c r="X114" s="8" t="s">
        <v>1296</v>
      </c>
      <c r="Y114" s="8" t="s">
        <v>1296</v>
      </c>
      <c r="Z114" s="8" t="s">
        <v>1284</v>
      </c>
      <c r="AA114" s="12" t="str">
        <f t="shared" si="5"/>
        <v>UNK-UNK-UNK-UNK-PM</v>
      </c>
    </row>
    <row r="115" spans="1:27" ht="20" customHeight="1" x14ac:dyDescent="0.35">
      <c r="A115" s="6" t="s">
        <v>1250</v>
      </c>
      <c r="B115" s="6" t="s">
        <v>584</v>
      </c>
      <c r="C115" s="13">
        <v>45132</v>
      </c>
      <c r="D115" s="6" t="s">
        <v>286</v>
      </c>
      <c r="E115" s="6" t="s">
        <v>47</v>
      </c>
      <c r="F115" s="6" t="s">
        <v>144</v>
      </c>
      <c r="G115" s="7" t="s">
        <v>45</v>
      </c>
      <c r="H115" s="7" t="s">
        <v>1291</v>
      </c>
      <c r="I115" s="8" t="s">
        <v>1292</v>
      </c>
      <c r="J115" s="8" t="s">
        <v>1293</v>
      </c>
      <c r="K115" s="9">
        <v>45132.375</v>
      </c>
      <c r="L115" s="9">
        <v>45132.385416666657</v>
      </c>
      <c r="M115" s="9">
        <v>45132.40625</v>
      </c>
      <c r="N115" s="9">
        <v>45132.433333333327</v>
      </c>
      <c r="O115" s="10">
        <f t="shared" si="3"/>
        <v>0.64999999984866008</v>
      </c>
      <c r="P115" s="8">
        <v>0</v>
      </c>
      <c r="Q115" s="8" t="s">
        <v>1253</v>
      </c>
      <c r="R115" s="6" t="s">
        <v>1294</v>
      </c>
      <c r="S115" s="7" t="s">
        <v>1295</v>
      </c>
      <c r="T115" s="8" t="s">
        <v>1256</v>
      </c>
      <c r="U115" s="11">
        <f t="shared" si="4"/>
        <v>0</v>
      </c>
      <c r="V115" s="8" t="s">
        <v>1288</v>
      </c>
      <c r="W115" s="8" t="s">
        <v>1276</v>
      </c>
      <c r="X115" s="8" t="s">
        <v>1289</v>
      </c>
      <c r="Y115" s="8" t="s">
        <v>1290</v>
      </c>
      <c r="Z115" s="8" t="s">
        <v>1297</v>
      </c>
      <c r="AA115" s="12" t="str">
        <f t="shared" si="5"/>
        <v>ACT-CTRL-STK-CTL-ADJ</v>
      </c>
    </row>
    <row r="116" spans="1:27" ht="20" customHeight="1" x14ac:dyDescent="0.35">
      <c r="A116" s="6" t="s">
        <v>1250</v>
      </c>
      <c r="B116" s="6" t="s">
        <v>589</v>
      </c>
      <c r="C116" s="13">
        <v>45835</v>
      </c>
      <c r="D116" s="6" t="s">
        <v>706</v>
      </c>
      <c r="E116" s="6" t="s">
        <v>34</v>
      </c>
      <c r="F116" s="6" t="s">
        <v>1404</v>
      </c>
      <c r="G116" s="7" t="s">
        <v>116</v>
      </c>
      <c r="H116" s="7" t="s">
        <v>1324</v>
      </c>
      <c r="I116" s="8" t="s">
        <v>1292</v>
      </c>
      <c r="J116" s="8" t="s">
        <v>1293</v>
      </c>
      <c r="K116" s="9">
        <v>45835.467361111107</v>
      </c>
      <c r="L116" s="9">
        <v>45835.477777777778</v>
      </c>
      <c r="M116" s="9">
        <v>45835.498611111107</v>
      </c>
      <c r="N116" s="9">
        <v>45835.65347222222</v>
      </c>
      <c r="O116" s="10">
        <f t="shared" si="3"/>
        <v>3.7166666667326353</v>
      </c>
      <c r="P116" s="8">
        <v>0</v>
      </c>
      <c r="Q116" s="8" t="s">
        <v>1263</v>
      </c>
      <c r="R116" s="6" t="s">
        <v>1294</v>
      </c>
      <c r="S116" s="7" t="s">
        <v>1295</v>
      </c>
      <c r="T116" s="8" t="s">
        <v>1256</v>
      </c>
      <c r="U116" s="11">
        <f t="shared" si="4"/>
        <v>0</v>
      </c>
      <c r="V116" s="8" t="s">
        <v>1296</v>
      </c>
      <c r="W116" s="8" t="s">
        <v>1296</v>
      </c>
      <c r="X116" s="8" t="s">
        <v>1296</v>
      </c>
      <c r="Y116" s="8" t="s">
        <v>1296</v>
      </c>
      <c r="Z116" s="8" t="s">
        <v>1312</v>
      </c>
      <c r="AA116" s="12" t="str">
        <f t="shared" si="5"/>
        <v>UNK-UNK-UNK-UNK-REP</v>
      </c>
    </row>
    <row r="117" spans="1:27" ht="20" customHeight="1" x14ac:dyDescent="0.35">
      <c r="A117" s="6" t="s">
        <v>1250</v>
      </c>
      <c r="B117" s="6" t="s">
        <v>594</v>
      </c>
      <c r="C117" s="13">
        <v>45185</v>
      </c>
      <c r="D117" s="6" t="s">
        <v>596</v>
      </c>
      <c r="E117" s="6" t="s">
        <v>41</v>
      </c>
      <c r="F117" s="6" t="s">
        <v>1408</v>
      </c>
      <c r="G117" s="7" t="s">
        <v>597</v>
      </c>
      <c r="H117" s="7" t="s">
        <v>1375</v>
      </c>
      <c r="I117" s="8" t="s">
        <v>1272</v>
      </c>
      <c r="J117" s="8" t="s">
        <v>1252</v>
      </c>
      <c r="K117" s="9">
        <v>45185.19027777778</v>
      </c>
      <c r="L117" s="9">
        <v>45185.200694444437</v>
      </c>
      <c r="M117" s="9">
        <v>45185.22152777778</v>
      </c>
      <c r="N117" s="9">
        <v>45185.37222222222</v>
      </c>
      <c r="O117" s="10">
        <f t="shared" si="3"/>
        <v>3.6166666665812954</v>
      </c>
      <c r="P117" s="8">
        <v>0</v>
      </c>
      <c r="Q117" s="8" t="s">
        <v>1263</v>
      </c>
      <c r="R117" s="6" t="s">
        <v>1273</v>
      </c>
      <c r="S117" s="7" t="s">
        <v>1274</v>
      </c>
      <c r="T117" s="8" t="s">
        <v>1256</v>
      </c>
      <c r="U117" s="11">
        <f t="shared" si="4"/>
        <v>1</v>
      </c>
      <c r="V117" s="8" t="s">
        <v>1305</v>
      </c>
      <c r="W117" s="8" t="s">
        <v>1276</v>
      </c>
      <c r="X117" s="8" t="s">
        <v>1306</v>
      </c>
      <c r="Y117" s="8" t="s">
        <v>1290</v>
      </c>
      <c r="Z117" s="8" t="s">
        <v>1278</v>
      </c>
      <c r="AA117" s="12" t="str">
        <f t="shared" si="5"/>
        <v>SYS-CTRL-TRP-CTL-RST</v>
      </c>
    </row>
    <row r="118" spans="1:27" ht="20" customHeight="1" x14ac:dyDescent="0.35">
      <c r="A118" s="6" t="s">
        <v>1250</v>
      </c>
      <c r="B118" s="6" t="s">
        <v>600</v>
      </c>
      <c r="C118" s="13">
        <v>44943</v>
      </c>
      <c r="D118" s="6" t="s">
        <v>628</v>
      </c>
      <c r="E118" s="6" t="s">
        <v>47</v>
      </c>
      <c r="F118" s="6" t="s">
        <v>1408</v>
      </c>
      <c r="G118" s="7" t="s">
        <v>603</v>
      </c>
      <c r="H118" s="7" t="s">
        <v>1283</v>
      </c>
      <c r="I118" s="8" t="s">
        <v>1284</v>
      </c>
      <c r="J118" s="8" t="s">
        <v>1285</v>
      </c>
      <c r="K118" s="9">
        <v>44943.375</v>
      </c>
      <c r="L118" s="9">
        <v>44943.375</v>
      </c>
      <c r="M118" s="9">
        <v>44943.375</v>
      </c>
      <c r="N118" s="9">
        <v>44943.39166666667</v>
      </c>
      <c r="O118" s="10">
        <f t="shared" si="3"/>
        <v>0.40000000008149073</v>
      </c>
      <c r="P118" s="8">
        <v>1</v>
      </c>
      <c r="Q118" s="8" t="s">
        <v>1263</v>
      </c>
      <c r="R118" s="6" t="s">
        <v>1286</v>
      </c>
      <c r="S118" s="7" t="s">
        <v>1287</v>
      </c>
      <c r="T118" s="8" t="s">
        <v>1256</v>
      </c>
      <c r="U118" s="11">
        <f t="shared" si="4"/>
        <v>0</v>
      </c>
      <c r="V118" s="8" t="s">
        <v>1296</v>
      </c>
      <c r="W118" s="8" t="s">
        <v>1296</v>
      </c>
      <c r="X118" s="8" t="s">
        <v>1296</v>
      </c>
      <c r="Y118" s="8" t="s">
        <v>1296</v>
      </c>
      <c r="Z118" s="8" t="s">
        <v>1284</v>
      </c>
      <c r="AA118" s="12" t="str">
        <f t="shared" si="5"/>
        <v>UNK-UNK-UNK-UNK-PM</v>
      </c>
    </row>
    <row r="119" spans="1:27" ht="20" customHeight="1" x14ac:dyDescent="0.35">
      <c r="A119" s="6" t="s">
        <v>1250</v>
      </c>
      <c r="B119" s="6" t="s">
        <v>606</v>
      </c>
      <c r="C119" s="13">
        <v>45059</v>
      </c>
      <c r="D119" s="6" t="s">
        <v>608</v>
      </c>
      <c r="E119" s="6" t="s">
        <v>21</v>
      </c>
      <c r="F119" s="6" t="s">
        <v>144</v>
      </c>
      <c r="G119" s="7" t="s">
        <v>194</v>
      </c>
      <c r="H119" s="7" t="s">
        <v>1330</v>
      </c>
      <c r="I119" s="8" t="s">
        <v>1292</v>
      </c>
      <c r="J119" s="8" t="s">
        <v>1293</v>
      </c>
      <c r="K119" s="9">
        <v>45059.416666666657</v>
      </c>
      <c r="L119" s="9">
        <v>45059.427083333343</v>
      </c>
      <c r="M119" s="9">
        <v>45059.447916666657</v>
      </c>
      <c r="N119" s="9">
        <v>45059.448611111111</v>
      </c>
      <c r="O119" s="10">
        <f t="shared" si="3"/>
        <v>1.66666668956168E-2</v>
      </c>
      <c r="P119" s="8">
        <v>0</v>
      </c>
      <c r="Q119" s="8" t="s">
        <v>1253</v>
      </c>
      <c r="R119" s="6" t="s">
        <v>1294</v>
      </c>
      <c r="S119" s="7" t="s">
        <v>1295</v>
      </c>
      <c r="T119" s="8" t="s">
        <v>1256</v>
      </c>
      <c r="U119" s="11">
        <f t="shared" si="4"/>
        <v>0</v>
      </c>
      <c r="V119" s="8" t="s">
        <v>1288</v>
      </c>
      <c r="W119" s="8" t="s">
        <v>1276</v>
      </c>
      <c r="X119" s="8" t="s">
        <v>1289</v>
      </c>
      <c r="Y119" s="8" t="s">
        <v>1290</v>
      </c>
      <c r="Z119" s="8" t="s">
        <v>1326</v>
      </c>
      <c r="AA119" s="12" t="str">
        <f t="shared" si="5"/>
        <v>ACT-CTRL-STK-CTL-CLN</v>
      </c>
    </row>
    <row r="120" spans="1:27" ht="20" customHeight="1" x14ac:dyDescent="0.35">
      <c r="A120" s="6" t="s">
        <v>1250</v>
      </c>
      <c r="B120" s="6" t="s">
        <v>611</v>
      </c>
      <c r="C120" s="13">
        <v>45494</v>
      </c>
      <c r="D120" s="6" t="s">
        <v>608</v>
      </c>
      <c r="E120" s="6" t="s">
        <v>21</v>
      </c>
      <c r="F120" s="6" t="s">
        <v>20</v>
      </c>
      <c r="G120" s="7" t="s">
        <v>76</v>
      </c>
      <c r="H120" s="7" t="s">
        <v>1310</v>
      </c>
      <c r="I120" s="8" t="s">
        <v>1272</v>
      </c>
      <c r="J120" s="8" t="s">
        <v>1252</v>
      </c>
      <c r="K120" s="9">
        <v>45494.361111111109</v>
      </c>
      <c r="L120" s="9">
        <v>45494.371527777781</v>
      </c>
      <c r="M120" s="9">
        <v>45494.392361111109</v>
      </c>
      <c r="N120" s="9">
        <v>45494.550694444442</v>
      </c>
      <c r="O120" s="10">
        <f t="shared" si="3"/>
        <v>3.7999999999883585</v>
      </c>
      <c r="P120" s="8">
        <v>0</v>
      </c>
      <c r="Q120" s="8" t="s">
        <v>1253</v>
      </c>
      <c r="R120" s="6" t="s">
        <v>1273</v>
      </c>
      <c r="S120" s="7" t="s">
        <v>1274</v>
      </c>
      <c r="T120" s="8" t="s">
        <v>1256</v>
      </c>
      <c r="U120" s="11">
        <f t="shared" si="4"/>
        <v>1</v>
      </c>
      <c r="V120" s="8" t="s">
        <v>1305</v>
      </c>
      <c r="W120" s="8" t="s">
        <v>1276</v>
      </c>
      <c r="X120" s="8" t="s">
        <v>1306</v>
      </c>
      <c r="Y120" s="8" t="s">
        <v>1290</v>
      </c>
      <c r="Z120" s="8" t="s">
        <v>1278</v>
      </c>
      <c r="AA120" s="12" t="str">
        <f t="shared" si="5"/>
        <v>SYS-CTRL-TRP-CTL-RST</v>
      </c>
    </row>
    <row r="121" spans="1:27" ht="20" customHeight="1" x14ac:dyDescent="0.35">
      <c r="A121" s="6" t="s">
        <v>1250</v>
      </c>
      <c r="B121" s="6" t="s">
        <v>615</v>
      </c>
      <c r="C121" s="13">
        <v>45456</v>
      </c>
      <c r="D121" s="6" t="s">
        <v>617</v>
      </c>
      <c r="E121" s="6" t="s">
        <v>34</v>
      </c>
      <c r="F121" s="6" t="s">
        <v>1408</v>
      </c>
      <c r="G121" s="7" t="s">
        <v>618</v>
      </c>
      <c r="H121" s="7" t="s">
        <v>1376</v>
      </c>
      <c r="I121" s="8" t="s">
        <v>1272</v>
      </c>
      <c r="J121" s="8" t="s">
        <v>1252</v>
      </c>
      <c r="K121" s="9">
        <v>45456.364583333343</v>
      </c>
      <c r="L121" s="9">
        <v>45456.375</v>
      </c>
      <c r="M121" s="9">
        <v>45456.395833333343</v>
      </c>
      <c r="N121" s="9">
        <v>45456.737500000003</v>
      </c>
      <c r="O121" s="10">
        <f t="shared" si="3"/>
        <v>8.1999999998370185</v>
      </c>
      <c r="P121" s="8">
        <v>0</v>
      </c>
      <c r="Q121" s="8" t="s">
        <v>1263</v>
      </c>
      <c r="R121" s="6" t="s">
        <v>1273</v>
      </c>
      <c r="S121" s="7" t="s">
        <v>1274</v>
      </c>
      <c r="T121" s="8" t="s">
        <v>1256</v>
      </c>
      <c r="U121" s="11">
        <f t="shared" si="4"/>
        <v>1</v>
      </c>
      <c r="V121" s="8" t="s">
        <v>1305</v>
      </c>
      <c r="W121" s="8" t="s">
        <v>1276</v>
      </c>
      <c r="X121" s="8" t="s">
        <v>1306</v>
      </c>
      <c r="Y121" s="8" t="s">
        <v>1290</v>
      </c>
      <c r="Z121" s="8" t="s">
        <v>1278</v>
      </c>
      <c r="AA121" s="12" t="str">
        <f t="shared" si="5"/>
        <v>SYS-CTRL-TRP-CTL-RST</v>
      </c>
    </row>
    <row r="122" spans="1:27" ht="20" customHeight="1" x14ac:dyDescent="0.35">
      <c r="A122" s="6" t="s">
        <v>1250</v>
      </c>
      <c r="B122" s="6" t="s">
        <v>621</v>
      </c>
      <c r="C122" s="13">
        <v>45650</v>
      </c>
      <c r="D122" s="6" t="s">
        <v>623</v>
      </c>
      <c r="E122" s="6" t="s">
        <v>21</v>
      </c>
      <c r="F122" s="6" t="s">
        <v>1407</v>
      </c>
      <c r="G122" s="7" t="s">
        <v>624</v>
      </c>
      <c r="H122" s="7" t="s">
        <v>1283</v>
      </c>
      <c r="I122" s="8" t="s">
        <v>1284</v>
      </c>
      <c r="J122" s="8" t="s">
        <v>1285</v>
      </c>
      <c r="K122" s="9">
        <v>45650.416666666657</v>
      </c>
      <c r="L122" s="9">
        <v>45650.416666666657</v>
      </c>
      <c r="M122" s="9">
        <v>45650.416666666657</v>
      </c>
      <c r="N122" s="9">
        <v>45650.484027777777</v>
      </c>
      <c r="O122" s="10">
        <f t="shared" si="3"/>
        <v>1.6166666668723337</v>
      </c>
      <c r="P122" s="8">
        <v>1</v>
      </c>
      <c r="Q122" s="8" t="s">
        <v>1263</v>
      </c>
      <c r="R122" s="6" t="s">
        <v>1286</v>
      </c>
      <c r="S122" s="7" t="s">
        <v>1287</v>
      </c>
      <c r="T122" s="8" t="s">
        <v>1256</v>
      </c>
      <c r="U122" s="11">
        <f t="shared" si="4"/>
        <v>0</v>
      </c>
      <c r="V122" s="8" t="s">
        <v>1296</v>
      </c>
      <c r="W122" s="8" t="s">
        <v>1296</v>
      </c>
      <c r="X122" s="8" t="s">
        <v>1296</v>
      </c>
      <c r="Y122" s="8" t="s">
        <v>1296</v>
      </c>
      <c r="Z122" s="8" t="s">
        <v>1284</v>
      </c>
      <c r="AA122" s="12" t="str">
        <f t="shared" si="5"/>
        <v>UNK-UNK-UNK-UNK-PM</v>
      </c>
    </row>
    <row r="123" spans="1:27" ht="20" customHeight="1" x14ac:dyDescent="0.35">
      <c r="A123" s="6" t="s">
        <v>1250</v>
      </c>
      <c r="B123" s="6" t="s">
        <v>627</v>
      </c>
      <c r="C123" s="13">
        <v>45140</v>
      </c>
      <c r="D123" s="6" t="s">
        <v>628</v>
      </c>
      <c r="E123" s="6" t="s">
        <v>47</v>
      </c>
      <c r="F123" s="6" t="s">
        <v>144</v>
      </c>
      <c r="G123" s="7" t="s">
        <v>116</v>
      </c>
      <c r="H123" s="7" t="s">
        <v>1324</v>
      </c>
      <c r="I123" s="8" t="s">
        <v>1292</v>
      </c>
      <c r="J123" s="8" t="s">
        <v>1293</v>
      </c>
      <c r="K123" s="9">
        <v>45140.388194444437</v>
      </c>
      <c r="L123" s="9">
        <v>45140.398611111108</v>
      </c>
      <c r="M123" s="9">
        <v>45140.419444444437</v>
      </c>
      <c r="N123" s="9">
        <v>45140.478472222218</v>
      </c>
      <c r="O123" s="10">
        <f t="shared" si="3"/>
        <v>1.4166666667442769</v>
      </c>
      <c r="P123" s="8">
        <v>0</v>
      </c>
      <c r="Q123" s="8" t="s">
        <v>1263</v>
      </c>
      <c r="R123" s="6" t="s">
        <v>1294</v>
      </c>
      <c r="S123" s="7" t="s">
        <v>1295</v>
      </c>
      <c r="T123" s="8" t="s">
        <v>1256</v>
      </c>
      <c r="U123" s="11">
        <f t="shared" si="4"/>
        <v>0</v>
      </c>
      <c r="V123" s="8" t="s">
        <v>1296</v>
      </c>
      <c r="W123" s="8" t="s">
        <v>1296</v>
      </c>
      <c r="X123" s="8" t="s">
        <v>1296</v>
      </c>
      <c r="Y123" s="8" t="s">
        <v>1296</v>
      </c>
      <c r="Z123" s="8" t="s">
        <v>1312</v>
      </c>
      <c r="AA123" s="12" t="str">
        <f t="shared" si="5"/>
        <v>UNK-UNK-UNK-UNK-REP</v>
      </c>
    </row>
    <row r="124" spans="1:27" ht="20" customHeight="1" x14ac:dyDescent="0.35">
      <c r="A124" s="6" t="s">
        <v>1250</v>
      </c>
      <c r="B124" s="6" t="s">
        <v>631</v>
      </c>
      <c r="C124" s="13">
        <v>45934</v>
      </c>
      <c r="D124" s="6" t="s">
        <v>633</v>
      </c>
      <c r="E124" s="6" t="s">
        <v>60</v>
      </c>
      <c r="F124" s="6" t="s">
        <v>144</v>
      </c>
      <c r="G124" s="7" t="s">
        <v>38</v>
      </c>
      <c r="H124" s="7" t="s">
        <v>1283</v>
      </c>
      <c r="I124" s="8" t="s">
        <v>1284</v>
      </c>
      <c r="J124" s="8" t="s">
        <v>1285</v>
      </c>
      <c r="K124" s="9">
        <v>45934.458333333343</v>
      </c>
      <c r="L124" s="9">
        <v>45934.458333333343</v>
      </c>
      <c r="M124" s="9">
        <v>45934.458333333343</v>
      </c>
      <c r="N124" s="9">
        <v>45934.525694444441</v>
      </c>
      <c r="O124" s="10">
        <f t="shared" si="3"/>
        <v>1.6166666663484648</v>
      </c>
      <c r="P124" s="8">
        <v>1</v>
      </c>
      <c r="Q124" s="8" t="s">
        <v>1263</v>
      </c>
      <c r="R124" s="6" t="s">
        <v>1286</v>
      </c>
      <c r="S124" s="7" t="s">
        <v>1287</v>
      </c>
      <c r="T124" s="8" t="s">
        <v>1256</v>
      </c>
      <c r="U124" s="11">
        <f t="shared" si="4"/>
        <v>0</v>
      </c>
      <c r="V124" s="8" t="s">
        <v>1296</v>
      </c>
      <c r="W124" s="8" t="s">
        <v>1296</v>
      </c>
      <c r="X124" s="8" t="s">
        <v>1296</v>
      </c>
      <c r="Y124" s="8" t="s">
        <v>1296</v>
      </c>
      <c r="Z124" s="8" t="s">
        <v>1261</v>
      </c>
      <c r="AA124" s="12" t="str">
        <f t="shared" si="5"/>
        <v>UNK-UNK-UNK-UNK-INSP</v>
      </c>
    </row>
    <row r="125" spans="1:27" ht="20" customHeight="1" x14ac:dyDescent="0.35">
      <c r="A125" s="6" t="s">
        <v>1250</v>
      </c>
      <c r="B125" s="6" t="s">
        <v>636</v>
      </c>
      <c r="C125" s="13">
        <v>45974</v>
      </c>
      <c r="D125" s="6" t="s">
        <v>706</v>
      </c>
      <c r="E125" s="6" t="s">
        <v>34</v>
      </c>
      <c r="F125" s="6" t="s">
        <v>1407</v>
      </c>
      <c r="G125" s="7" t="s">
        <v>70</v>
      </c>
      <c r="H125" s="7" t="s">
        <v>1308</v>
      </c>
      <c r="I125" s="8" t="s">
        <v>1252</v>
      </c>
      <c r="J125" s="8" t="s">
        <v>1252</v>
      </c>
      <c r="K125" s="9">
        <v>45974.840277777781</v>
      </c>
      <c r="L125" s="9">
        <v>45974.850694444453</v>
      </c>
      <c r="M125" s="9">
        <v>45974.871527777781</v>
      </c>
      <c r="N125" s="9">
        <v>45974.965277777781</v>
      </c>
      <c r="O125" s="10">
        <f t="shared" si="3"/>
        <v>2.25</v>
      </c>
      <c r="P125" s="8">
        <v>0</v>
      </c>
      <c r="Q125" s="8" t="s">
        <v>1263</v>
      </c>
      <c r="R125" s="6" t="s">
        <v>1299</v>
      </c>
      <c r="S125" s="7" t="s">
        <v>1300</v>
      </c>
      <c r="T125" s="8" t="s">
        <v>1266</v>
      </c>
      <c r="U125" s="11">
        <f t="shared" si="4"/>
        <v>1</v>
      </c>
      <c r="V125" s="8" t="s">
        <v>1301</v>
      </c>
      <c r="W125" s="8" t="s">
        <v>1258</v>
      </c>
      <c r="X125" s="8" t="s">
        <v>1302</v>
      </c>
      <c r="Y125" s="8" t="s">
        <v>1260</v>
      </c>
      <c r="Z125" s="8" t="s">
        <v>1270</v>
      </c>
      <c r="AA125" s="12" t="str">
        <f t="shared" si="5"/>
        <v>BRG-DE-VIB-MEC-RPL</v>
      </c>
    </row>
    <row r="126" spans="1:27" ht="20" customHeight="1" x14ac:dyDescent="0.35">
      <c r="A126" s="6" t="s">
        <v>1250</v>
      </c>
      <c r="B126" s="6" t="s">
        <v>640</v>
      </c>
      <c r="C126" s="13">
        <v>45861</v>
      </c>
      <c r="D126" s="6" t="s">
        <v>203</v>
      </c>
      <c r="E126" s="6" t="s">
        <v>207</v>
      </c>
      <c r="F126" s="6" t="s">
        <v>1404</v>
      </c>
      <c r="G126" s="7" t="s">
        <v>194</v>
      </c>
      <c r="H126" s="7" t="s">
        <v>1330</v>
      </c>
      <c r="I126" s="8" t="s">
        <v>1292</v>
      </c>
      <c r="J126" s="8" t="s">
        <v>1293</v>
      </c>
      <c r="K126" s="9">
        <v>45861.458333333343</v>
      </c>
      <c r="L126" s="9">
        <v>45861.46875</v>
      </c>
      <c r="M126" s="9">
        <v>45861.489583333343</v>
      </c>
      <c r="N126" s="9">
        <v>45861.470833333333</v>
      </c>
      <c r="O126" s="10">
        <f t="shared" si="3"/>
        <v>-0.45000000024447218</v>
      </c>
      <c r="P126" s="8">
        <v>0</v>
      </c>
      <c r="Q126" s="8" t="s">
        <v>1263</v>
      </c>
      <c r="R126" s="6" t="s">
        <v>1294</v>
      </c>
      <c r="S126" s="7" t="s">
        <v>1295</v>
      </c>
      <c r="T126" s="8" t="s">
        <v>1256</v>
      </c>
      <c r="U126" s="11">
        <f t="shared" si="4"/>
        <v>0</v>
      </c>
      <c r="V126" s="8" t="s">
        <v>1275</v>
      </c>
      <c r="W126" s="8" t="s">
        <v>1276</v>
      </c>
      <c r="X126" s="8" t="s">
        <v>1277</v>
      </c>
      <c r="Y126" s="8" t="s">
        <v>1275</v>
      </c>
      <c r="Z126" s="8" t="s">
        <v>1326</v>
      </c>
      <c r="AA126" s="12" t="str">
        <f t="shared" si="5"/>
        <v>INS-CTRL-DRF-INS-CLN</v>
      </c>
    </row>
    <row r="127" spans="1:27" ht="20" customHeight="1" x14ac:dyDescent="0.35">
      <c r="A127" s="6" t="s">
        <v>1250</v>
      </c>
      <c r="B127" s="6" t="s">
        <v>644</v>
      </c>
      <c r="C127" s="13">
        <v>45995</v>
      </c>
      <c r="D127" s="6" t="s">
        <v>646</v>
      </c>
      <c r="E127" s="6" t="s">
        <v>41</v>
      </c>
      <c r="F127" s="6" t="s">
        <v>1405</v>
      </c>
      <c r="G127" s="7" t="s">
        <v>82</v>
      </c>
      <c r="H127" s="7" t="s">
        <v>1311</v>
      </c>
      <c r="I127" s="8" t="s">
        <v>1292</v>
      </c>
      <c r="J127" s="8" t="s">
        <v>1293</v>
      </c>
      <c r="K127" s="9">
        <v>45995.19027777778</v>
      </c>
      <c r="L127" s="9">
        <v>45995.200694444437</v>
      </c>
      <c r="M127" s="9">
        <v>45995.22152777778</v>
      </c>
      <c r="N127" s="9">
        <v>45995.294444444437</v>
      </c>
      <c r="O127" s="10">
        <f t="shared" si="3"/>
        <v>1.7499999997671694</v>
      </c>
      <c r="P127" s="8">
        <v>0</v>
      </c>
      <c r="Q127" s="8" t="s">
        <v>1253</v>
      </c>
      <c r="R127" s="6" t="s">
        <v>1294</v>
      </c>
      <c r="S127" s="7" t="s">
        <v>1295</v>
      </c>
      <c r="T127" s="8" t="s">
        <v>1266</v>
      </c>
      <c r="U127" s="11">
        <f t="shared" si="4"/>
        <v>0</v>
      </c>
      <c r="V127" s="8" t="s">
        <v>1296</v>
      </c>
      <c r="W127" s="8" t="s">
        <v>1296</v>
      </c>
      <c r="X127" s="8" t="s">
        <v>1296</v>
      </c>
      <c r="Y127" s="8" t="s">
        <v>1296</v>
      </c>
      <c r="Z127" s="8" t="s">
        <v>1312</v>
      </c>
      <c r="AA127" s="12" t="str">
        <f t="shared" si="5"/>
        <v>UNK-UNK-UNK-UNK-REP</v>
      </c>
    </row>
    <row r="128" spans="1:27" ht="20" customHeight="1" x14ac:dyDescent="0.35">
      <c r="A128" s="6" t="s">
        <v>1250</v>
      </c>
      <c r="B128" s="6" t="s">
        <v>648</v>
      </c>
      <c r="C128" s="13">
        <v>45798</v>
      </c>
      <c r="D128" s="6" t="s">
        <v>650</v>
      </c>
      <c r="E128" s="6" t="s">
        <v>34</v>
      </c>
      <c r="F128" s="6" t="s">
        <v>1407</v>
      </c>
      <c r="G128" s="7" t="s">
        <v>563</v>
      </c>
      <c r="H128" s="7" t="s">
        <v>1374</v>
      </c>
      <c r="I128" s="8" t="s">
        <v>1272</v>
      </c>
      <c r="J128" s="8" t="s">
        <v>1252</v>
      </c>
      <c r="K128" s="9">
        <v>45798.291666666657</v>
      </c>
      <c r="L128" s="9">
        <v>45798.302083333343</v>
      </c>
      <c r="M128" s="9">
        <v>45798.322916666657</v>
      </c>
      <c r="N128" s="9">
        <v>45798.418055555558</v>
      </c>
      <c r="O128" s="10">
        <f t="shared" si="3"/>
        <v>2.2833333336166106</v>
      </c>
      <c r="P128" s="8">
        <v>0</v>
      </c>
      <c r="Q128" s="8" t="s">
        <v>1263</v>
      </c>
      <c r="R128" s="6" t="s">
        <v>1273</v>
      </c>
      <c r="S128" s="7" t="s">
        <v>1274</v>
      </c>
      <c r="T128" s="8" t="s">
        <v>1256</v>
      </c>
      <c r="U128" s="11">
        <f t="shared" si="4"/>
        <v>1</v>
      </c>
      <c r="V128" s="8" t="s">
        <v>1305</v>
      </c>
      <c r="W128" s="8" t="s">
        <v>1276</v>
      </c>
      <c r="X128" s="8" t="s">
        <v>1306</v>
      </c>
      <c r="Y128" s="8" t="s">
        <v>1290</v>
      </c>
      <c r="Z128" s="8" t="s">
        <v>1278</v>
      </c>
      <c r="AA128" s="12" t="str">
        <f t="shared" si="5"/>
        <v>SYS-CTRL-TRP-CTL-RST</v>
      </c>
    </row>
    <row r="129" spans="1:27" ht="20" customHeight="1" x14ac:dyDescent="0.35">
      <c r="A129" s="6" t="s">
        <v>1250</v>
      </c>
      <c r="B129" s="6" t="s">
        <v>653</v>
      </c>
      <c r="C129" s="13">
        <v>45195</v>
      </c>
      <c r="D129" s="6" t="s">
        <v>358</v>
      </c>
      <c r="E129" s="6" t="s">
        <v>47</v>
      </c>
      <c r="F129" s="6" t="s">
        <v>1407</v>
      </c>
      <c r="G129" s="7" t="s">
        <v>38</v>
      </c>
      <c r="H129" s="7" t="s">
        <v>1283</v>
      </c>
      <c r="I129" s="8" t="s">
        <v>1284</v>
      </c>
      <c r="J129" s="8" t="s">
        <v>1285</v>
      </c>
      <c r="K129" s="9">
        <v>45195.416666666657</v>
      </c>
      <c r="L129" s="9">
        <v>45195.416666666657</v>
      </c>
      <c r="M129" s="9">
        <v>45195.416666666657</v>
      </c>
      <c r="N129" s="9">
        <v>45195.458333333343</v>
      </c>
      <c r="O129" s="10">
        <f t="shared" si="3"/>
        <v>1.0000000004656613</v>
      </c>
      <c r="P129" s="8">
        <v>1</v>
      </c>
      <c r="Q129" s="8" t="s">
        <v>1263</v>
      </c>
      <c r="R129" s="6" t="s">
        <v>1286</v>
      </c>
      <c r="S129" s="7" t="s">
        <v>1287</v>
      </c>
      <c r="T129" s="8" t="s">
        <v>1256</v>
      </c>
      <c r="U129" s="11">
        <f t="shared" si="4"/>
        <v>0</v>
      </c>
      <c r="V129" s="8" t="s">
        <v>1296</v>
      </c>
      <c r="W129" s="8" t="s">
        <v>1296</v>
      </c>
      <c r="X129" s="8" t="s">
        <v>1296</v>
      </c>
      <c r="Y129" s="8" t="s">
        <v>1296</v>
      </c>
      <c r="Z129" s="8" t="s">
        <v>1261</v>
      </c>
      <c r="AA129" s="12" t="str">
        <f t="shared" si="5"/>
        <v>UNK-UNK-UNK-UNK-INSP</v>
      </c>
    </row>
    <row r="130" spans="1:27" ht="20" customHeight="1" x14ac:dyDescent="0.35">
      <c r="A130" s="6" t="s">
        <v>1250</v>
      </c>
      <c r="B130" s="6" t="s">
        <v>657</v>
      </c>
      <c r="C130" s="13">
        <v>45407</v>
      </c>
      <c r="D130" s="6" t="s">
        <v>659</v>
      </c>
      <c r="E130" s="6" t="s">
        <v>60</v>
      </c>
      <c r="F130" s="6" t="s">
        <v>1404</v>
      </c>
      <c r="G130" s="7" t="s">
        <v>660</v>
      </c>
      <c r="H130" s="7" t="s">
        <v>1377</v>
      </c>
      <c r="I130" s="8" t="s">
        <v>1272</v>
      </c>
      <c r="J130" s="8" t="s">
        <v>1252</v>
      </c>
      <c r="K130" s="9">
        <v>45407.393750000003</v>
      </c>
      <c r="L130" s="9">
        <v>45407.404166666667</v>
      </c>
      <c r="M130" s="9">
        <v>45407.425000000003</v>
      </c>
      <c r="N130" s="9">
        <v>45407.600694444453</v>
      </c>
      <c r="O130" s="10">
        <f t="shared" ref="O130:O193" si="6">IF(AND(N130&lt;&gt;"",M130&lt;&gt;""),(N130-M130)*24,"")</f>
        <v>4.216666666790843</v>
      </c>
      <c r="P130" s="8">
        <v>0</v>
      </c>
      <c r="Q130" s="8" t="s">
        <v>1253</v>
      </c>
      <c r="R130" s="6" t="s">
        <v>1273</v>
      </c>
      <c r="S130" s="7" t="s">
        <v>1274</v>
      </c>
      <c r="T130" s="8" t="s">
        <v>1256</v>
      </c>
      <c r="U130" s="11">
        <f t="shared" ref="U130:U193" si="7">IF(OR(I130="FAILURE",I130="TRIP"),1,0)</f>
        <v>1</v>
      </c>
      <c r="V130" s="8" t="s">
        <v>1305</v>
      </c>
      <c r="W130" s="8" t="s">
        <v>1276</v>
      </c>
      <c r="X130" s="8" t="s">
        <v>1306</v>
      </c>
      <c r="Y130" s="8" t="s">
        <v>1290</v>
      </c>
      <c r="Z130" s="8" t="s">
        <v>1278</v>
      </c>
      <c r="AA130" s="12" t="str">
        <f t="shared" ref="AA130:AA193" si="8">IF(V130="","",V130&amp;"-"&amp;W130&amp;"-"&amp;X130&amp;"-"&amp;Y130&amp;"-"&amp;Z130)</f>
        <v>SYS-CTRL-TRP-CTL-RST</v>
      </c>
    </row>
    <row r="131" spans="1:27" ht="20" customHeight="1" x14ac:dyDescent="0.35">
      <c r="A131" s="6" t="s">
        <v>1250</v>
      </c>
      <c r="B131" s="6" t="s">
        <v>663</v>
      </c>
      <c r="C131" s="13">
        <v>45056</v>
      </c>
      <c r="D131" s="6" t="s">
        <v>1378</v>
      </c>
      <c r="E131" s="6" t="s">
        <v>34</v>
      </c>
      <c r="F131" s="6" t="s">
        <v>1404</v>
      </c>
      <c r="G131" s="7" t="s">
        <v>666</v>
      </c>
      <c r="H131" s="7" t="s">
        <v>1379</v>
      </c>
      <c r="I131" s="8" t="s">
        <v>1292</v>
      </c>
      <c r="J131" s="8" t="s">
        <v>1293</v>
      </c>
      <c r="K131" s="9">
        <v>45056.035416666673</v>
      </c>
      <c r="L131" s="9">
        <v>45056.04583333333</v>
      </c>
      <c r="M131" s="9">
        <v>45056.066666666673</v>
      </c>
      <c r="N131" s="9">
        <v>45056.384722222218</v>
      </c>
      <c r="O131" s="10">
        <f t="shared" si="6"/>
        <v>7.6333333330694586</v>
      </c>
      <c r="P131" s="8">
        <v>0</v>
      </c>
      <c r="Q131" s="8" t="s">
        <v>1263</v>
      </c>
      <c r="R131" s="6" t="s">
        <v>1294</v>
      </c>
      <c r="S131" s="7" t="s">
        <v>1295</v>
      </c>
      <c r="T131" s="8" t="s">
        <v>1256</v>
      </c>
      <c r="U131" s="11">
        <f t="shared" si="7"/>
        <v>0</v>
      </c>
      <c r="V131" s="8" t="s">
        <v>1296</v>
      </c>
      <c r="W131" s="8" t="s">
        <v>1296</v>
      </c>
      <c r="X131" s="8" t="s">
        <v>1296</v>
      </c>
      <c r="Y131" s="8" t="s">
        <v>1296</v>
      </c>
      <c r="Z131" s="8" t="s">
        <v>1261</v>
      </c>
      <c r="AA131" s="12" t="str">
        <f t="shared" si="8"/>
        <v>UNK-UNK-UNK-UNK-INSP</v>
      </c>
    </row>
    <row r="132" spans="1:27" ht="20" customHeight="1" x14ac:dyDescent="0.35">
      <c r="A132" s="6" t="s">
        <v>1250</v>
      </c>
      <c r="B132" s="6" t="s">
        <v>669</v>
      </c>
      <c r="C132" s="13">
        <v>45529</v>
      </c>
      <c r="D132" s="6" t="s">
        <v>174</v>
      </c>
      <c r="E132" s="6" t="s">
        <v>47</v>
      </c>
      <c r="F132" s="6" t="s">
        <v>20</v>
      </c>
      <c r="G132" s="7" t="s">
        <v>370</v>
      </c>
      <c r="H132" s="7" t="s">
        <v>1283</v>
      </c>
      <c r="I132" s="8" t="s">
        <v>1284</v>
      </c>
      <c r="J132" s="8" t="s">
        <v>1285</v>
      </c>
      <c r="K132" s="9">
        <v>45529.511111111111</v>
      </c>
      <c r="L132" s="9">
        <v>45529.511111111111</v>
      </c>
      <c r="M132" s="9">
        <v>45529.511111111111</v>
      </c>
      <c r="N132" s="9">
        <v>45529.573611111111</v>
      </c>
      <c r="O132" s="10">
        <f t="shared" si="6"/>
        <v>1.5</v>
      </c>
      <c r="P132" s="8">
        <v>1</v>
      </c>
      <c r="Q132" s="8" t="s">
        <v>1263</v>
      </c>
      <c r="R132" s="6" t="s">
        <v>1286</v>
      </c>
      <c r="S132" s="7" t="s">
        <v>1287</v>
      </c>
      <c r="T132" s="8" t="s">
        <v>1266</v>
      </c>
      <c r="U132" s="11">
        <f t="shared" si="7"/>
        <v>0</v>
      </c>
      <c r="V132" s="8" t="s">
        <v>1296</v>
      </c>
      <c r="W132" s="8" t="s">
        <v>1296</v>
      </c>
      <c r="X132" s="8" t="s">
        <v>1296</v>
      </c>
      <c r="Y132" s="8" t="s">
        <v>1296</v>
      </c>
      <c r="Z132" s="8" t="s">
        <v>1284</v>
      </c>
      <c r="AA132" s="12" t="str">
        <f t="shared" si="8"/>
        <v>UNK-UNK-UNK-UNK-PM</v>
      </c>
    </row>
    <row r="133" spans="1:27" ht="20" customHeight="1" x14ac:dyDescent="0.35">
      <c r="A133" s="6" t="s">
        <v>1250</v>
      </c>
      <c r="B133" s="6" t="s">
        <v>672</v>
      </c>
      <c r="C133" s="13">
        <v>45704</v>
      </c>
      <c r="D133" s="6" t="s">
        <v>633</v>
      </c>
      <c r="E133" s="6" t="s">
        <v>60</v>
      </c>
      <c r="F133" s="6" t="s">
        <v>33</v>
      </c>
      <c r="G133" s="7" t="s">
        <v>319</v>
      </c>
      <c r="H133" s="7" t="s">
        <v>1283</v>
      </c>
      <c r="I133" s="8" t="s">
        <v>1284</v>
      </c>
      <c r="J133" s="8" t="s">
        <v>1285</v>
      </c>
      <c r="K133" s="9">
        <v>45704.458333333343</v>
      </c>
      <c r="L133" s="9">
        <v>45704.458333333343</v>
      </c>
      <c r="M133" s="9">
        <v>45704.458333333343</v>
      </c>
      <c r="N133" s="9">
        <v>45704.513194444437</v>
      </c>
      <c r="O133" s="10">
        <f t="shared" si="6"/>
        <v>1.316666666243691</v>
      </c>
      <c r="P133" s="8">
        <v>1</v>
      </c>
      <c r="Q133" s="8" t="s">
        <v>1263</v>
      </c>
      <c r="R133" s="6" t="s">
        <v>1286</v>
      </c>
      <c r="S133" s="7" t="s">
        <v>1287</v>
      </c>
      <c r="T133" s="8" t="s">
        <v>1256</v>
      </c>
      <c r="U133" s="11">
        <f t="shared" si="7"/>
        <v>0</v>
      </c>
      <c r="V133" s="8" t="s">
        <v>1296</v>
      </c>
      <c r="W133" s="8" t="s">
        <v>1296</v>
      </c>
      <c r="X133" s="8" t="s">
        <v>1296</v>
      </c>
      <c r="Y133" s="8" t="s">
        <v>1296</v>
      </c>
      <c r="Z133" s="8" t="s">
        <v>1284</v>
      </c>
      <c r="AA133" s="12" t="str">
        <f t="shared" si="8"/>
        <v>UNK-UNK-UNK-UNK-PM</v>
      </c>
    </row>
    <row r="134" spans="1:27" ht="20" customHeight="1" x14ac:dyDescent="0.35">
      <c r="A134" s="6" t="s">
        <v>1250</v>
      </c>
      <c r="B134" s="6" t="s">
        <v>674</v>
      </c>
      <c r="C134" s="13">
        <v>45176</v>
      </c>
      <c r="D134" s="6" t="s">
        <v>1332</v>
      </c>
      <c r="E134" s="6" t="s">
        <v>41</v>
      </c>
      <c r="F134" s="6" t="s">
        <v>1404</v>
      </c>
      <c r="G134" s="7" t="s">
        <v>194</v>
      </c>
      <c r="H134" s="7" t="s">
        <v>1330</v>
      </c>
      <c r="I134" s="8" t="s">
        <v>1292</v>
      </c>
      <c r="J134" s="8" t="s">
        <v>1293</v>
      </c>
      <c r="K134" s="9">
        <v>45176.375</v>
      </c>
      <c r="L134" s="9">
        <v>45176.385416666657</v>
      </c>
      <c r="M134" s="9">
        <v>45176.40625</v>
      </c>
      <c r="N134" s="9">
        <v>45176.4375</v>
      </c>
      <c r="O134" s="10">
        <f t="shared" si="6"/>
        <v>0.75</v>
      </c>
      <c r="P134" s="8">
        <v>0</v>
      </c>
      <c r="Q134" s="8" t="s">
        <v>1253</v>
      </c>
      <c r="R134" s="6" t="s">
        <v>1294</v>
      </c>
      <c r="S134" s="7" t="s">
        <v>1295</v>
      </c>
      <c r="T134" s="8" t="s">
        <v>1266</v>
      </c>
      <c r="U134" s="11">
        <f t="shared" si="7"/>
        <v>0</v>
      </c>
      <c r="V134" s="8" t="s">
        <v>1296</v>
      </c>
      <c r="W134" s="8" t="s">
        <v>1296</v>
      </c>
      <c r="X134" s="8" t="s">
        <v>1296</v>
      </c>
      <c r="Y134" s="8" t="s">
        <v>1296</v>
      </c>
      <c r="Z134" s="8" t="s">
        <v>1326</v>
      </c>
      <c r="AA134" s="12" t="str">
        <f t="shared" si="8"/>
        <v>UNK-UNK-UNK-UNK-CLN</v>
      </c>
    </row>
    <row r="135" spans="1:27" ht="20" customHeight="1" x14ac:dyDescent="0.35">
      <c r="A135" s="6" t="s">
        <v>1250</v>
      </c>
      <c r="B135" s="6" t="s">
        <v>677</v>
      </c>
      <c r="C135" s="13">
        <v>45138</v>
      </c>
      <c r="D135" s="6" t="s">
        <v>1169</v>
      </c>
      <c r="E135" s="6" t="s">
        <v>34</v>
      </c>
      <c r="F135" s="6" t="s">
        <v>1406</v>
      </c>
      <c r="G135" s="7" t="s">
        <v>679</v>
      </c>
      <c r="H135" s="7" t="s">
        <v>1283</v>
      </c>
      <c r="I135" s="8" t="s">
        <v>1284</v>
      </c>
      <c r="J135" s="8" t="s">
        <v>1285</v>
      </c>
      <c r="K135" s="9">
        <v>45138.333333333343</v>
      </c>
      <c r="L135" s="9">
        <v>45138.333333333343</v>
      </c>
      <c r="M135" s="9">
        <v>45138.333333333343</v>
      </c>
      <c r="N135" s="9">
        <v>45138.395833333343</v>
      </c>
      <c r="O135" s="10">
        <f t="shared" si="6"/>
        <v>1.5</v>
      </c>
      <c r="P135" s="8">
        <v>1</v>
      </c>
      <c r="Q135" s="8" t="s">
        <v>1263</v>
      </c>
      <c r="R135" s="6" t="s">
        <v>1286</v>
      </c>
      <c r="S135" s="7" t="s">
        <v>1287</v>
      </c>
      <c r="T135" s="8" t="s">
        <v>1372</v>
      </c>
      <c r="U135" s="11">
        <f t="shared" si="7"/>
        <v>0</v>
      </c>
      <c r="V135" s="8" t="s">
        <v>1275</v>
      </c>
      <c r="W135" s="8" t="s">
        <v>1276</v>
      </c>
      <c r="X135" s="8" t="s">
        <v>1277</v>
      </c>
      <c r="Y135" s="8" t="s">
        <v>1275</v>
      </c>
      <c r="Z135" s="8" t="s">
        <v>1284</v>
      </c>
      <c r="AA135" s="12" t="str">
        <f t="shared" si="8"/>
        <v>INS-CTRL-DRF-INS-PM</v>
      </c>
    </row>
    <row r="136" spans="1:27" ht="20" customHeight="1" x14ac:dyDescent="0.35">
      <c r="A136" s="6" t="s">
        <v>1250</v>
      </c>
      <c r="B136" s="6" t="s">
        <v>680</v>
      </c>
      <c r="C136" s="13">
        <v>45093</v>
      </c>
      <c r="D136" s="6" t="s">
        <v>383</v>
      </c>
      <c r="E136" s="6" t="s">
        <v>47</v>
      </c>
      <c r="F136" s="6" t="s">
        <v>1404</v>
      </c>
      <c r="G136" s="7" t="s">
        <v>194</v>
      </c>
      <c r="H136" s="7" t="s">
        <v>1330</v>
      </c>
      <c r="I136" s="8" t="s">
        <v>1292</v>
      </c>
      <c r="J136" s="8" t="s">
        <v>1293</v>
      </c>
      <c r="K136" s="9">
        <v>45093.5</v>
      </c>
      <c r="L136" s="9">
        <v>45093.510416666657</v>
      </c>
      <c r="M136" s="9">
        <v>45093.53125</v>
      </c>
      <c r="N136" s="9">
        <v>45093.637499999997</v>
      </c>
      <c r="O136" s="10">
        <f t="shared" si="6"/>
        <v>2.5499999999301508</v>
      </c>
      <c r="P136" s="8">
        <v>0</v>
      </c>
      <c r="Q136" s="8" t="s">
        <v>1263</v>
      </c>
      <c r="R136" s="6" t="s">
        <v>1294</v>
      </c>
      <c r="S136" s="7" t="s">
        <v>1295</v>
      </c>
      <c r="T136" s="8" t="s">
        <v>1256</v>
      </c>
      <c r="U136" s="11">
        <f t="shared" si="7"/>
        <v>0</v>
      </c>
      <c r="V136" s="8" t="s">
        <v>1296</v>
      </c>
      <c r="W136" s="8" t="s">
        <v>1296</v>
      </c>
      <c r="X136" s="8" t="s">
        <v>1296</v>
      </c>
      <c r="Y136" s="8" t="s">
        <v>1296</v>
      </c>
      <c r="Z136" s="8" t="s">
        <v>1326</v>
      </c>
      <c r="AA136" s="12" t="str">
        <f t="shared" si="8"/>
        <v>UNK-UNK-UNK-UNK-CLN</v>
      </c>
    </row>
    <row r="137" spans="1:27" ht="20" customHeight="1" x14ac:dyDescent="0.35">
      <c r="A137" s="6" t="s">
        <v>1250</v>
      </c>
      <c r="B137" s="6" t="s">
        <v>685</v>
      </c>
      <c r="C137" s="13">
        <v>45642</v>
      </c>
      <c r="D137" s="6" t="s">
        <v>1340</v>
      </c>
      <c r="E137" s="6" t="s">
        <v>41</v>
      </c>
      <c r="F137" s="6" t="s">
        <v>144</v>
      </c>
      <c r="G137" s="7" t="s">
        <v>194</v>
      </c>
      <c r="H137" s="7" t="s">
        <v>1330</v>
      </c>
      <c r="I137" s="8" t="s">
        <v>1292</v>
      </c>
      <c r="J137" s="8" t="s">
        <v>1293</v>
      </c>
      <c r="K137" s="9">
        <v>45642.475694444453</v>
      </c>
      <c r="L137" s="9">
        <v>45642.486111111109</v>
      </c>
      <c r="M137" s="9">
        <v>45642.506944444453</v>
      </c>
      <c r="N137" s="9">
        <v>45642.579861111109</v>
      </c>
      <c r="O137" s="10">
        <f t="shared" si="6"/>
        <v>1.7499999997671694</v>
      </c>
      <c r="P137" s="8">
        <v>0</v>
      </c>
      <c r="Q137" s="8" t="s">
        <v>1263</v>
      </c>
      <c r="R137" s="6" t="s">
        <v>1294</v>
      </c>
      <c r="S137" s="7" t="s">
        <v>1295</v>
      </c>
      <c r="T137" s="8" t="s">
        <v>1266</v>
      </c>
      <c r="U137" s="11">
        <f t="shared" si="7"/>
        <v>0</v>
      </c>
      <c r="V137" s="8" t="s">
        <v>1296</v>
      </c>
      <c r="W137" s="8" t="s">
        <v>1296</v>
      </c>
      <c r="X137" s="8" t="s">
        <v>1296</v>
      </c>
      <c r="Y137" s="8" t="s">
        <v>1296</v>
      </c>
      <c r="Z137" s="8" t="s">
        <v>1326</v>
      </c>
      <c r="AA137" s="12" t="str">
        <f t="shared" si="8"/>
        <v>UNK-UNK-UNK-UNK-CLN</v>
      </c>
    </row>
    <row r="138" spans="1:27" ht="20" customHeight="1" x14ac:dyDescent="0.35">
      <c r="A138" s="6" t="s">
        <v>1250</v>
      </c>
      <c r="B138" s="6" t="s">
        <v>689</v>
      </c>
      <c r="C138" s="13">
        <v>45066</v>
      </c>
      <c r="D138" s="6" t="s">
        <v>570</v>
      </c>
      <c r="E138" s="6" t="s">
        <v>21</v>
      </c>
      <c r="F138" s="6" t="s">
        <v>20</v>
      </c>
      <c r="G138" s="7" t="s">
        <v>692</v>
      </c>
      <c r="H138" s="7" t="s">
        <v>1380</v>
      </c>
      <c r="I138" s="8" t="s">
        <v>1272</v>
      </c>
      <c r="J138" s="8" t="s">
        <v>1252</v>
      </c>
      <c r="K138" s="9">
        <v>45066.882638888892</v>
      </c>
      <c r="L138" s="9">
        <v>45066.893055555563</v>
      </c>
      <c r="M138" s="9">
        <v>45066.913888888892</v>
      </c>
      <c r="N138" s="9">
        <v>45066.940972222219</v>
      </c>
      <c r="O138" s="10">
        <f t="shared" si="6"/>
        <v>0.64999999984866008</v>
      </c>
      <c r="P138" s="8">
        <v>0</v>
      </c>
      <c r="Q138" s="8" t="s">
        <v>1253</v>
      </c>
      <c r="R138" s="6" t="s">
        <v>1273</v>
      </c>
      <c r="S138" s="7" t="s">
        <v>1274</v>
      </c>
      <c r="T138" s="8" t="s">
        <v>1256</v>
      </c>
      <c r="U138" s="11">
        <f t="shared" si="7"/>
        <v>1</v>
      </c>
      <c r="V138" s="8" t="s">
        <v>1305</v>
      </c>
      <c r="W138" s="8" t="s">
        <v>1276</v>
      </c>
      <c r="X138" s="8" t="s">
        <v>1306</v>
      </c>
      <c r="Y138" s="8" t="s">
        <v>1290</v>
      </c>
      <c r="Z138" s="8" t="s">
        <v>1278</v>
      </c>
      <c r="AA138" s="12" t="str">
        <f t="shared" si="8"/>
        <v>SYS-CTRL-TRP-CTL-RST</v>
      </c>
    </row>
    <row r="139" spans="1:27" ht="20" customHeight="1" x14ac:dyDescent="0.35">
      <c r="A139" s="6" t="s">
        <v>1250</v>
      </c>
      <c r="B139" s="6" t="s">
        <v>695</v>
      </c>
      <c r="C139" s="13">
        <v>45493</v>
      </c>
      <c r="D139" s="6" t="s">
        <v>697</v>
      </c>
      <c r="E139" s="6" t="s">
        <v>41</v>
      </c>
      <c r="F139" s="6" t="s">
        <v>1406</v>
      </c>
      <c r="G139" s="7" t="s">
        <v>660</v>
      </c>
      <c r="H139" s="7" t="s">
        <v>1377</v>
      </c>
      <c r="I139" s="8" t="s">
        <v>1272</v>
      </c>
      <c r="J139" s="8" t="s">
        <v>1252</v>
      </c>
      <c r="K139" s="9">
        <v>45493.752083333333</v>
      </c>
      <c r="L139" s="9">
        <v>45493.762499999997</v>
      </c>
      <c r="M139" s="9">
        <v>45493.783333333333</v>
      </c>
      <c r="N139" s="9">
        <v>45493.930555555547</v>
      </c>
      <c r="O139" s="10">
        <f t="shared" si="6"/>
        <v>3.5333333331509493</v>
      </c>
      <c r="P139" s="8">
        <v>0</v>
      </c>
      <c r="Q139" s="8" t="s">
        <v>1263</v>
      </c>
      <c r="R139" s="6" t="s">
        <v>1273</v>
      </c>
      <c r="S139" s="7" t="s">
        <v>1274</v>
      </c>
      <c r="T139" s="8" t="s">
        <v>1256</v>
      </c>
      <c r="U139" s="11">
        <f t="shared" si="7"/>
        <v>1</v>
      </c>
      <c r="V139" s="8" t="s">
        <v>1305</v>
      </c>
      <c r="W139" s="8" t="s">
        <v>1276</v>
      </c>
      <c r="X139" s="8" t="s">
        <v>1306</v>
      </c>
      <c r="Y139" s="8" t="s">
        <v>1290</v>
      </c>
      <c r="Z139" s="8" t="s">
        <v>1278</v>
      </c>
      <c r="AA139" s="12" t="str">
        <f t="shared" si="8"/>
        <v>SYS-CTRL-TRP-CTL-RST</v>
      </c>
    </row>
    <row r="140" spans="1:27" ht="20" customHeight="1" x14ac:dyDescent="0.35">
      <c r="A140" s="6" t="s">
        <v>1250</v>
      </c>
      <c r="B140" s="6" t="s">
        <v>700</v>
      </c>
      <c r="C140" s="13">
        <v>45954</v>
      </c>
      <c r="D140" s="6" t="s">
        <v>552</v>
      </c>
      <c r="E140" s="6" t="s">
        <v>60</v>
      </c>
      <c r="F140" s="6" t="s">
        <v>1405</v>
      </c>
      <c r="G140" s="7" t="s">
        <v>70</v>
      </c>
      <c r="H140" s="7" t="s">
        <v>1308</v>
      </c>
      <c r="I140" s="8" t="s">
        <v>1252</v>
      </c>
      <c r="J140" s="8" t="s">
        <v>1252</v>
      </c>
      <c r="K140" s="9">
        <v>45954.222222222219</v>
      </c>
      <c r="L140" s="9">
        <v>45954.232638888891</v>
      </c>
      <c r="M140" s="9">
        <v>45954.253472222219</v>
      </c>
      <c r="N140" s="9">
        <v>45954.811111111107</v>
      </c>
      <c r="O140" s="10">
        <f t="shared" si="6"/>
        <v>13.383333333302289</v>
      </c>
      <c r="P140" s="8">
        <v>0</v>
      </c>
      <c r="Q140" s="8" t="s">
        <v>1253</v>
      </c>
      <c r="R140" s="6" t="s">
        <v>1299</v>
      </c>
      <c r="S140" s="7" t="s">
        <v>1300</v>
      </c>
      <c r="T140" s="8" t="s">
        <v>1256</v>
      </c>
      <c r="U140" s="11">
        <f t="shared" si="7"/>
        <v>1</v>
      </c>
      <c r="V140" s="8" t="s">
        <v>1301</v>
      </c>
      <c r="W140" s="8" t="s">
        <v>1258</v>
      </c>
      <c r="X140" s="8" t="s">
        <v>1302</v>
      </c>
      <c r="Y140" s="8" t="s">
        <v>1260</v>
      </c>
      <c r="Z140" s="8" t="s">
        <v>1270</v>
      </c>
      <c r="AA140" s="12" t="str">
        <f t="shared" si="8"/>
        <v>BRG-DE-VIB-MEC-RPL</v>
      </c>
    </row>
    <row r="141" spans="1:27" ht="20" customHeight="1" x14ac:dyDescent="0.35">
      <c r="A141" s="6" t="s">
        <v>1250</v>
      </c>
      <c r="B141" s="6" t="s">
        <v>705</v>
      </c>
      <c r="C141" s="13">
        <v>45651</v>
      </c>
      <c r="D141" s="6" t="s">
        <v>706</v>
      </c>
      <c r="E141" s="6" t="s">
        <v>34</v>
      </c>
      <c r="F141" s="6" t="s">
        <v>20</v>
      </c>
      <c r="G141" s="7" t="s">
        <v>121</v>
      </c>
      <c r="H141" s="7" t="s">
        <v>1325</v>
      </c>
      <c r="I141" s="8" t="s">
        <v>1292</v>
      </c>
      <c r="J141" s="8" t="s">
        <v>1293</v>
      </c>
      <c r="K141" s="9">
        <v>45651.541666666657</v>
      </c>
      <c r="L141" s="9">
        <v>45651.552083333343</v>
      </c>
      <c r="M141" s="9">
        <v>45651.572916666657</v>
      </c>
      <c r="N141" s="9">
        <v>45651.554166666669</v>
      </c>
      <c r="O141" s="10">
        <f t="shared" si="6"/>
        <v>-0.44999999972060323</v>
      </c>
      <c r="P141" s="8">
        <v>0</v>
      </c>
      <c r="Q141" s="8" t="s">
        <v>1263</v>
      </c>
      <c r="R141" s="6" t="s">
        <v>1294</v>
      </c>
      <c r="S141" s="7" t="s">
        <v>1295</v>
      </c>
      <c r="T141" s="8" t="s">
        <v>1256</v>
      </c>
      <c r="U141" s="11">
        <f t="shared" si="7"/>
        <v>0</v>
      </c>
      <c r="V141" s="8" t="s">
        <v>1296</v>
      </c>
      <c r="W141" s="8" t="s">
        <v>1296</v>
      </c>
      <c r="X141" s="8" t="s">
        <v>1296</v>
      </c>
      <c r="Y141" s="8" t="s">
        <v>1296</v>
      </c>
      <c r="Z141" s="8" t="s">
        <v>1261</v>
      </c>
      <c r="AA141" s="12" t="str">
        <f t="shared" si="8"/>
        <v>UNK-UNK-UNK-UNK-INSP</v>
      </c>
    </row>
    <row r="142" spans="1:27" ht="20" customHeight="1" x14ac:dyDescent="0.35">
      <c r="A142" s="6" t="s">
        <v>1250</v>
      </c>
      <c r="B142" s="6" t="s">
        <v>709</v>
      </c>
      <c r="C142" s="13">
        <v>45996</v>
      </c>
      <c r="D142" s="6" t="s">
        <v>711</v>
      </c>
      <c r="E142" s="6" t="s">
        <v>21</v>
      </c>
      <c r="F142" s="6" t="s">
        <v>33</v>
      </c>
      <c r="G142" s="7" t="s">
        <v>82</v>
      </c>
      <c r="H142" s="7" t="s">
        <v>1311</v>
      </c>
      <c r="I142" s="8" t="s">
        <v>1292</v>
      </c>
      <c r="J142" s="8" t="s">
        <v>1293</v>
      </c>
      <c r="K142" s="9">
        <v>45996.90347222222</v>
      </c>
      <c r="L142" s="9">
        <v>45996.913888888892</v>
      </c>
      <c r="M142" s="9">
        <v>45996.93472222222</v>
      </c>
      <c r="N142" s="9">
        <v>45997.072916666657</v>
      </c>
      <c r="O142" s="10">
        <f t="shared" si="6"/>
        <v>3.3166666664765216</v>
      </c>
      <c r="P142" s="8">
        <v>0</v>
      </c>
      <c r="Q142" s="8" t="s">
        <v>1263</v>
      </c>
      <c r="R142" s="6" t="s">
        <v>1294</v>
      </c>
      <c r="S142" s="7" t="s">
        <v>1295</v>
      </c>
      <c r="T142" s="8" t="s">
        <v>1256</v>
      </c>
      <c r="U142" s="11">
        <f t="shared" si="7"/>
        <v>0</v>
      </c>
      <c r="V142" s="8" t="s">
        <v>1275</v>
      </c>
      <c r="W142" s="8" t="s">
        <v>1276</v>
      </c>
      <c r="X142" s="8" t="s">
        <v>1277</v>
      </c>
      <c r="Y142" s="8" t="s">
        <v>1275</v>
      </c>
      <c r="Z142" s="8" t="s">
        <v>1312</v>
      </c>
      <c r="AA142" s="12" t="str">
        <f t="shared" si="8"/>
        <v>INS-CTRL-DRF-INS-REP</v>
      </c>
    </row>
    <row r="143" spans="1:27" ht="20" customHeight="1" x14ac:dyDescent="0.35">
      <c r="A143" s="6" t="s">
        <v>1250</v>
      </c>
      <c r="B143" s="6" t="s">
        <v>714</v>
      </c>
      <c r="C143" s="13">
        <v>45244</v>
      </c>
      <c r="D143" s="6" t="s">
        <v>716</v>
      </c>
      <c r="E143" s="6" t="s">
        <v>14</v>
      </c>
      <c r="F143" s="6" t="s">
        <v>1405</v>
      </c>
      <c r="G143" s="7" t="s">
        <v>359</v>
      </c>
      <c r="H143" s="7" t="s">
        <v>1351</v>
      </c>
      <c r="I143" s="8" t="s">
        <v>1292</v>
      </c>
      <c r="J143" s="8" t="s">
        <v>1293</v>
      </c>
      <c r="K143" s="9">
        <v>45244.645138888889</v>
      </c>
      <c r="L143" s="9">
        <v>45244.655555555553</v>
      </c>
      <c r="M143" s="9">
        <v>45244.676388888889</v>
      </c>
      <c r="N143" s="9">
        <v>45244.768750000003</v>
      </c>
      <c r="O143" s="10">
        <f t="shared" si="6"/>
        <v>2.2166666667326353</v>
      </c>
      <c r="P143" s="8">
        <v>0</v>
      </c>
      <c r="Q143" s="8" t="s">
        <v>1253</v>
      </c>
      <c r="R143" s="6" t="s">
        <v>1294</v>
      </c>
      <c r="S143" s="7" t="s">
        <v>1295</v>
      </c>
      <c r="T143" s="8" t="s">
        <v>1256</v>
      </c>
      <c r="U143" s="11">
        <f t="shared" si="7"/>
        <v>0</v>
      </c>
      <c r="V143" s="8" t="s">
        <v>1296</v>
      </c>
      <c r="W143" s="8" t="s">
        <v>1296</v>
      </c>
      <c r="X143" s="8" t="s">
        <v>1296</v>
      </c>
      <c r="Y143" s="8" t="s">
        <v>1296</v>
      </c>
      <c r="Z143" s="8" t="s">
        <v>1261</v>
      </c>
      <c r="AA143" s="12" t="str">
        <f t="shared" si="8"/>
        <v>UNK-UNK-UNK-UNK-INSP</v>
      </c>
    </row>
    <row r="144" spans="1:27" ht="20" customHeight="1" x14ac:dyDescent="0.35">
      <c r="A144" s="6" t="s">
        <v>1250</v>
      </c>
      <c r="B144" s="6" t="s">
        <v>719</v>
      </c>
      <c r="C144" s="13">
        <v>45540</v>
      </c>
      <c r="D144" s="6" t="s">
        <v>721</v>
      </c>
      <c r="E144" s="6" t="s">
        <v>34</v>
      </c>
      <c r="F144" s="6" t="s">
        <v>1405</v>
      </c>
      <c r="G144" s="7" t="s">
        <v>412</v>
      </c>
      <c r="H144" s="7" t="s">
        <v>1356</v>
      </c>
      <c r="I144" s="8" t="s">
        <v>1252</v>
      </c>
      <c r="J144" s="8" t="s">
        <v>1252</v>
      </c>
      <c r="K144" s="9">
        <v>45540.333333333343</v>
      </c>
      <c r="L144" s="9">
        <v>45540.34375</v>
      </c>
      <c r="M144" s="9">
        <v>45540.364583333343</v>
      </c>
      <c r="N144" s="9">
        <v>45540.416666666657</v>
      </c>
      <c r="O144" s="10">
        <f t="shared" si="6"/>
        <v>1.2499999995343387</v>
      </c>
      <c r="P144" s="8">
        <v>0</v>
      </c>
      <c r="Q144" s="8" t="s">
        <v>1263</v>
      </c>
      <c r="R144" s="6" t="s">
        <v>1320</v>
      </c>
      <c r="S144" s="7" t="s">
        <v>1321</v>
      </c>
      <c r="T144" s="8" t="s">
        <v>1372</v>
      </c>
      <c r="U144" s="11">
        <f t="shared" si="7"/>
        <v>1</v>
      </c>
      <c r="V144" s="8" t="s">
        <v>1322</v>
      </c>
      <c r="W144" s="8" t="s">
        <v>1258</v>
      </c>
      <c r="X144" s="8" t="s">
        <v>1323</v>
      </c>
      <c r="Y144" s="8" t="s">
        <v>1260</v>
      </c>
      <c r="Z144" s="8" t="s">
        <v>1312</v>
      </c>
      <c r="AA144" s="12" t="str">
        <f t="shared" si="8"/>
        <v>SEA-DE-LEK-MEC-REP</v>
      </c>
    </row>
    <row r="145" spans="1:27" ht="20" customHeight="1" x14ac:dyDescent="0.35">
      <c r="A145" s="6" t="s">
        <v>1250</v>
      </c>
      <c r="B145" s="6" t="s">
        <v>722</v>
      </c>
      <c r="C145" s="13">
        <v>45595</v>
      </c>
      <c r="D145" s="6" t="s">
        <v>757</v>
      </c>
      <c r="E145" s="6" t="s">
        <v>47</v>
      </c>
      <c r="F145" s="6" t="s">
        <v>1404</v>
      </c>
      <c r="G145" s="7" t="s">
        <v>265</v>
      </c>
      <c r="H145" s="7" t="s">
        <v>1337</v>
      </c>
      <c r="I145" s="8" t="s">
        <v>1272</v>
      </c>
      <c r="J145" s="8" t="s">
        <v>1252</v>
      </c>
      <c r="K145" s="9">
        <v>45595.511111111111</v>
      </c>
      <c r="L145" s="9">
        <v>45595.521527777782</v>
      </c>
      <c r="M145" s="9">
        <v>45595.542361111111</v>
      </c>
      <c r="N145" s="9">
        <v>45595.926388888889</v>
      </c>
      <c r="O145" s="10">
        <f t="shared" si="6"/>
        <v>9.2166666666744277</v>
      </c>
      <c r="P145" s="8">
        <v>0</v>
      </c>
      <c r="Q145" s="8" t="s">
        <v>1263</v>
      </c>
      <c r="R145" s="6" t="s">
        <v>1273</v>
      </c>
      <c r="S145" s="7" t="s">
        <v>1274</v>
      </c>
      <c r="T145" s="8" t="s">
        <v>1256</v>
      </c>
      <c r="U145" s="11">
        <f t="shared" si="7"/>
        <v>1</v>
      </c>
      <c r="V145" s="8" t="s">
        <v>1305</v>
      </c>
      <c r="W145" s="8" t="s">
        <v>1276</v>
      </c>
      <c r="X145" s="8" t="s">
        <v>1306</v>
      </c>
      <c r="Y145" s="8" t="s">
        <v>1290</v>
      </c>
      <c r="Z145" s="8" t="s">
        <v>1278</v>
      </c>
      <c r="AA145" s="12" t="str">
        <f t="shared" si="8"/>
        <v>SYS-CTRL-TRP-CTL-RST</v>
      </c>
    </row>
    <row r="146" spans="1:27" ht="20" customHeight="1" x14ac:dyDescent="0.35">
      <c r="A146" s="6" t="s">
        <v>1250</v>
      </c>
      <c r="B146" s="6" t="s">
        <v>727</v>
      </c>
      <c r="C146" s="13">
        <v>45631</v>
      </c>
      <c r="D146" s="6" t="s">
        <v>270</v>
      </c>
      <c r="E146" s="6" t="s">
        <v>41</v>
      </c>
      <c r="F146" s="6" t="s">
        <v>144</v>
      </c>
      <c r="G146" s="7" t="s">
        <v>348</v>
      </c>
      <c r="H146" s="7" t="s">
        <v>1344</v>
      </c>
      <c r="I146" s="8" t="s">
        <v>1252</v>
      </c>
      <c r="J146" s="8" t="s">
        <v>1252</v>
      </c>
      <c r="K146" s="9">
        <v>45631.430555555547</v>
      </c>
      <c r="L146" s="9">
        <v>45631.440972222219</v>
      </c>
      <c r="M146" s="9">
        <v>45631.461805555547</v>
      </c>
      <c r="N146" s="9">
        <v>45631.727777777778</v>
      </c>
      <c r="O146" s="10">
        <f t="shared" si="6"/>
        <v>6.3833333335351199</v>
      </c>
      <c r="P146" s="8">
        <v>0</v>
      </c>
      <c r="Q146" s="8" t="s">
        <v>1263</v>
      </c>
      <c r="R146" s="6" t="s">
        <v>1345</v>
      </c>
      <c r="S146" s="7" t="s">
        <v>1346</v>
      </c>
      <c r="T146" s="8" t="s">
        <v>1256</v>
      </c>
      <c r="U146" s="11">
        <f t="shared" si="7"/>
        <v>1</v>
      </c>
      <c r="V146" s="8" t="s">
        <v>1347</v>
      </c>
      <c r="W146" s="8" t="s">
        <v>1348</v>
      </c>
      <c r="X146" s="8" t="s">
        <v>1349</v>
      </c>
      <c r="Y146" s="8" t="s">
        <v>1350</v>
      </c>
      <c r="Z146" s="8" t="s">
        <v>1312</v>
      </c>
      <c r="AA146" s="12" t="str">
        <f t="shared" si="8"/>
        <v>MOT-ELEC-OHT-ELC-REP</v>
      </c>
    </row>
    <row r="147" spans="1:27" ht="20" customHeight="1" x14ac:dyDescent="0.35">
      <c r="A147" s="6" t="s">
        <v>1250</v>
      </c>
      <c r="B147" s="6" t="s">
        <v>732</v>
      </c>
      <c r="C147" s="13">
        <v>45921</v>
      </c>
      <c r="D147" s="6" t="s">
        <v>1340</v>
      </c>
      <c r="E147" s="6" t="s">
        <v>41</v>
      </c>
      <c r="F147" s="6" t="s">
        <v>1408</v>
      </c>
      <c r="G147" s="7" t="s">
        <v>734</v>
      </c>
      <c r="H147" s="7" t="s">
        <v>1381</v>
      </c>
      <c r="I147" s="8" t="s">
        <v>1252</v>
      </c>
      <c r="J147" s="8" t="s">
        <v>1252</v>
      </c>
      <c r="K147" s="9">
        <v>45921.254861111112</v>
      </c>
      <c r="L147" s="9">
        <v>45921.265277777777</v>
      </c>
      <c r="M147" s="9">
        <v>45921.286111111112</v>
      </c>
      <c r="N147" s="9">
        <v>45921.742361111108</v>
      </c>
      <c r="O147" s="10">
        <f t="shared" si="6"/>
        <v>10.949999999895226</v>
      </c>
      <c r="P147" s="8">
        <v>0</v>
      </c>
      <c r="Q147" s="8" t="s">
        <v>1263</v>
      </c>
      <c r="R147" s="6" t="s">
        <v>1299</v>
      </c>
      <c r="S147" s="7" t="s">
        <v>1300</v>
      </c>
      <c r="T147" s="8" t="s">
        <v>1256</v>
      </c>
      <c r="U147" s="11">
        <f t="shared" si="7"/>
        <v>1</v>
      </c>
      <c r="V147" s="8" t="s">
        <v>1301</v>
      </c>
      <c r="W147" s="8" t="s">
        <v>1258</v>
      </c>
      <c r="X147" s="8" t="s">
        <v>1302</v>
      </c>
      <c r="Y147" s="8" t="s">
        <v>1260</v>
      </c>
      <c r="Z147" s="8" t="s">
        <v>1261</v>
      </c>
      <c r="AA147" s="12" t="str">
        <f t="shared" si="8"/>
        <v>BRG-DE-VIB-MEC-INSP</v>
      </c>
    </row>
    <row r="148" spans="1:27" ht="20" customHeight="1" x14ac:dyDescent="0.35">
      <c r="A148" s="6" t="s">
        <v>1250</v>
      </c>
      <c r="B148" s="6" t="s">
        <v>737</v>
      </c>
      <c r="C148" s="13">
        <v>45769</v>
      </c>
      <c r="D148" s="6" t="s">
        <v>110</v>
      </c>
      <c r="E148" s="6" t="s">
        <v>47</v>
      </c>
      <c r="F148" s="6" t="s">
        <v>1405</v>
      </c>
      <c r="G148" s="7" t="s">
        <v>116</v>
      </c>
      <c r="H148" s="7" t="s">
        <v>1324</v>
      </c>
      <c r="I148" s="8" t="s">
        <v>1292</v>
      </c>
      <c r="J148" s="8" t="s">
        <v>1293</v>
      </c>
      <c r="K148" s="9">
        <v>45769.442361111112</v>
      </c>
      <c r="L148" s="9">
        <v>45769.452777777777</v>
      </c>
      <c r="M148" s="9">
        <v>45769.473611111112</v>
      </c>
      <c r="N148" s="9">
        <v>45769.924305555563</v>
      </c>
      <c r="O148" s="10">
        <f t="shared" si="6"/>
        <v>10.816666666825768</v>
      </c>
      <c r="P148" s="8">
        <v>0</v>
      </c>
      <c r="Q148" s="8" t="s">
        <v>1263</v>
      </c>
      <c r="R148" s="6" t="s">
        <v>1294</v>
      </c>
      <c r="S148" s="7" t="s">
        <v>1295</v>
      </c>
      <c r="T148" s="8" t="s">
        <v>1256</v>
      </c>
      <c r="U148" s="11">
        <f t="shared" si="7"/>
        <v>0</v>
      </c>
      <c r="V148" s="8" t="s">
        <v>1296</v>
      </c>
      <c r="W148" s="8" t="s">
        <v>1296</v>
      </c>
      <c r="X148" s="8" t="s">
        <v>1296</v>
      </c>
      <c r="Y148" s="8" t="s">
        <v>1296</v>
      </c>
      <c r="Z148" s="8" t="s">
        <v>1312</v>
      </c>
      <c r="AA148" s="12" t="str">
        <f t="shared" si="8"/>
        <v>UNK-UNK-UNK-UNK-REP</v>
      </c>
    </row>
    <row r="149" spans="1:27" ht="20" customHeight="1" x14ac:dyDescent="0.35">
      <c r="A149" s="6" t="s">
        <v>1250</v>
      </c>
      <c r="B149" s="6" t="s">
        <v>741</v>
      </c>
      <c r="C149" s="13">
        <v>45592</v>
      </c>
      <c r="D149" s="6" t="s">
        <v>203</v>
      </c>
      <c r="E149" s="6" t="s">
        <v>207</v>
      </c>
      <c r="F149" s="6" t="s">
        <v>144</v>
      </c>
      <c r="G149" s="7" t="s">
        <v>679</v>
      </c>
      <c r="H149" s="7" t="s">
        <v>1283</v>
      </c>
      <c r="I149" s="8" t="s">
        <v>1284</v>
      </c>
      <c r="J149" s="8" t="s">
        <v>1285</v>
      </c>
      <c r="K149" s="9">
        <v>45592.416666666657</v>
      </c>
      <c r="L149" s="9">
        <v>45592.416666666657</v>
      </c>
      <c r="M149" s="9">
        <v>45592.416666666657</v>
      </c>
      <c r="N149" s="9">
        <v>45592.510416666657</v>
      </c>
      <c r="O149" s="10">
        <f t="shared" si="6"/>
        <v>2.25</v>
      </c>
      <c r="P149" s="8">
        <v>1</v>
      </c>
      <c r="Q149" s="8" t="s">
        <v>1263</v>
      </c>
      <c r="R149" s="6" t="s">
        <v>1286</v>
      </c>
      <c r="S149" s="7" t="s">
        <v>1287</v>
      </c>
      <c r="T149" s="8" t="s">
        <v>1256</v>
      </c>
      <c r="U149" s="11">
        <f t="shared" si="7"/>
        <v>0</v>
      </c>
      <c r="V149" s="8" t="s">
        <v>1275</v>
      </c>
      <c r="W149" s="8" t="s">
        <v>1276</v>
      </c>
      <c r="X149" s="8" t="s">
        <v>1277</v>
      </c>
      <c r="Y149" s="8" t="s">
        <v>1275</v>
      </c>
      <c r="Z149" s="8" t="s">
        <v>1284</v>
      </c>
      <c r="AA149" s="12" t="str">
        <f t="shared" si="8"/>
        <v>INS-CTRL-DRF-INS-PM</v>
      </c>
    </row>
    <row r="150" spans="1:27" ht="20" customHeight="1" x14ac:dyDescent="0.35">
      <c r="A150" s="6" t="s">
        <v>1250</v>
      </c>
      <c r="B150" s="6" t="s">
        <v>746</v>
      </c>
      <c r="C150" s="13">
        <v>45475</v>
      </c>
      <c r="D150" s="6" t="s">
        <v>358</v>
      </c>
      <c r="E150" s="6" t="s">
        <v>47</v>
      </c>
      <c r="F150" s="6" t="s">
        <v>20</v>
      </c>
      <c r="G150" s="7" t="s">
        <v>88</v>
      </c>
      <c r="H150" s="7" t="s">
        <v>1313</v>
      </c>
      <c r="I150" s="8" t="s">
        <v>1272</v>
      </c>
      <c r="J150" s="8" t="s">
        <v>1252</v>
      </c>
      <c r="K150" s="9">
        <v>45475.9</v>
      </c>
      <c r="L150" s="9">
        <v>45475.910416666673</v>
      </c>
      <c r="M150" s="9">
        <v>45475.931250000001</v>
      </c>
      <c r="N150" s="9">
        <v>45476.300694444442</v>
      </c>
      <c r="O150" s="10">
        <f t="shared" si="6"/>
        <v>8.8666666665812954</v>
      </c>
      <c r="P150" s="8">
        <v>0</v>
      </c>
      <c r="Q150" s="8" t="s">
        <v>1263</v>
      </c>
      <c r="R150" s="6" t="s">
        <v>1273</v>
      </c>
      <c r="S150" s="7" t="s">
        <v>1274</v>
      </c>
      <c r="T150" s="8" t="s">
        <v>1256</v>
      </c>
      <c r="U150" s="11">
        <f t="shared" si="7"/>
        <v>1</v>
      </c>
      <c r="V150" s="8" t="s">
        <v>1305</v>
      </c>
      <c r="W150" s="8" t="s">
        <v>1276</v>
      </c>
      <c r="X150" s="8" t="s">
        <v>1306</v>
      </c>
      <c r="Y150" s="8" t="s">
        <v>1290</v>
      </c>
      <c r="Z150" s="8" t="s">
        <v>1278</v>
      </c>
      <c r="AA150" s="12" t="str">
        <f t="shared" si="8"/>
        <v>SYS-CTRL-TRP-CTL-RST</v>
      </c>
    </row>
    <row r="151" spans="1:27" ht="20" customHeight="1" x14ac:dyDescent="0.35">
      <c r="A151" s="6" t="s">
        <v>1250</v>
      </c>
      <c r="B151" s="6" t="s">
        <v>750</v>
      </c>
      <c r="C151" s="13">
        <v>45927</v>
      </c>
      <c r="D151" s="6" t="s">
        <v>270</v>
      </c>
      <c r="E151" s="6" t="s">
        <v>41</v>
      </c>
      <c r="F151" s="6" t="s">
        <v>33</v>
      </c>
      <c r="G151" s="7" t="s">
        <v>752</v>
      </c>
      <c r="H151" s="7" t="s">
        <v>1382</v>
      </c>
      <c r="I151" s="8" t="s">
        <v>1292</v>
      </c>
      <c r="J151" s="8" t="s">
        <v>1293</v>
      </c>
      <c r="K151" s="9">
        <v>45928.003472222219</v>
      </c>
      <c r="L151" s="9">
        <v>45928.013888888891</v>
      </c>
      <c r="M151" s="9">
        <v>45928.034722222219</v>
      </c>
      <c r="N151" s="9">
        <v>45928.509722222218</v>
      </c>
      <c r="O151" s="10">
        <f t="shared" si="6"/>
        <v>11.399999999965075</v>
      </c>
      <c r="P151" s="8">
        <v>0</v>
      </c>
      <c r="Q151" s="8" t="s">
        <v>1263</v>
      </c>
      <c r="R151" s="6" t="s">
        <v>1294</v>
      </c>
      <c r="S151" s="7" t="s">
        <v>1295</v>
      </c>
      <c r="T151" s="8" t="s">
        <v>1256</v>
      </c>
      <c r="U151" s="11">
        <f t="shared" si="7"/>
        <v>0</v>
      </c>
      <c r="V151" s="8" t="s">
        <v>1296</v>
      </c>
      <c r="W151" s="8" t="s">
        <v>1296</v>
      </c>
      <c r="X151" s="8" t="s">
        <v>1296</v>
      </c>
      <c r="Y151" s="8" t="s">
        <v>1296</v>
      </c>
      <c r="Z151" s="8" t="s">
        <v>1261</v>
      </c>
      <c r="AA151" s="12" t="str">
        <f t="shared" si="8"/>
        <v>UNK-UNK-UNK-UNK-INSP</v>
      </c>
    </row>
    <row r="152" spans="1:27" ht="20" customHeight="1" x14ac:dyDescent="0.35">
      <c r="A152" s="6" t="s">
        <v>1250</v>
      </c>
      <c r="B152" s="6" t="s">
        <v>755</v>
      </c>
      <c r="C152" s="13">
        <v>45787</v>
      </c>
      <c r="D152" s="6" t="s">
        <v>757</v>
      </c>
      <c r="E152" s="6" t="s">
        <v>47</v>
      </c>
      <c r="F152" s="6" t="s">
        <v>1408</v>
      </c>
      <c r="G152" s="7" t="s">
        <v>82</v>
      </c>
      <c r="H152" s="7" t="s">
        <v>1311</v>
      </c>
      <c r="I152" s="8" t="s">
        <v>1292</v>
      </c>
      <c r="J152" s="8" t="s">
        <v>1293</v>
      </c>
      <c r="K152" s="9">
        <v>45788.036805555559</v>
      </c>
      <c r="L152" s="9">
        <v>45788.047222222223</v>
      </c>
      <c r="M152" s="9">
        <v>45788.068055555559</v>
      </c>
      <c r="N152" s="9">
        <v>45788.140972222223</v>
      </c>
      <c r="O152" s="10">
        <f t="shared" si="6"/>
        <v>1.7499999999417923</v>
      </c>
      <c r="P152" s="8">
        <v>0</v>
      </c>
      <c r="Q152" s="8" t="s">
        <v>1263</v>
      </c>
      <c r="R152" s="6" t="s">
        <v>1294</v>
      </c>
      <c r="S152" s="7" t="s">
        <v>1295</v>
      </c>
      <c r="T152" s="8" t="s">
        <v>1266</v>
      </c>
      <c r="U152" s="11">
        <f t="shared" si="7"/>
        <v>0</v>
      </c>
      <c r="V152" s="8" t="s">
        <v>1296</v>
      </c>
      <c r="W152" s="8" t="s">
        <v>1296</v>
      </c>
      <c r="X152" s="8" t="s">
        <v>1296</v>
      </c>
      <c r="Y152" s="8" t="s">
        <v>1296</v>
      </c>
      <c r="Z152" s="8" t="s">
        <v>1312</v>
      </c>
      <c r="AA152" s="12" t="str">
        <f t="shared" si="8"/>
        <v>UNK-UNK-UNK-UNK-REP</v>
      </c>
    </row>
    <row r="153" spans="1:27" ht="20" customHeight="1" x14ac:dyDescent="0.35">
      <c r="A153" s="6" t="s">
        <v>1250</v>
      </c>
      <c r="B153" s="6" t="s">
        <v>759</v>
      </c>
      <c r="C153" s="13">
        <v>45873</v>
      </c>
      <c r="D153" s="6" t="s">
        <v>761</v>
      </c>
      <c r="E153" s="6" t="s">
        <v>47</v>
      </c>
      <c r="F153" s="6" t="s">
        <v>20</v>
      </c>
      <c r="G153" s="7" t="s">
        <v>378</v>
      </c>
      <c r="H153" s="7" t="s">
        <v>1352</v>
      </c>
      <c r="I153" s="8" t="s">
        <v>1292</v>
      </c>
      <c r="J153" s="8" t="s">
        <v>1293</v>
      </c>
      <c r="K153" s="9">
        <v>45873.375</v>
      </c>
      <c r="L153" s="9">
        <v>45873.385416666657</v>
      </c>
      <c r="M153" s="9">
        <v>45873.40625</v>
      </c>
      <c r="N153" s="9">
        <v>45873.447222222218</v>
      </c>
      <c r="O153" s="10">
        <f t="shared" si="6"/>
        <v>0.98333333322079852</v>
      </c>
      <c r="P153" s="8">
        <v>0</v>
      </c>
      <c r="Q153" s="8" t="s">
        <v>1263</v>
      </c>
      <c r="R153" s="6" t="s">
        <v>1294</v>
      </c>
      <c r="S153" s="7" t="s">
        <v>1295</v>
      </c>
      <c r="T153" s="8" t="s">
        <v>1256</v>
      </c>
      <c r="U153" s="11">
        <f t="shared" si="7"/>
        <v>0</v>
      </c>
      <c r="V153" s="8" t="s">
        <v>1296</v>
      </c>
      <c r="W153" s="8" t="s">
        <v>1296</v>
      </c>
      <c r="X153" s="8" t="s">
        <v>1296</v>
      </c>
      <c r="Y153" s="8" t="s">
        <v>1296</v>
      </c>
      <c r="Z153" s="8" t="s">
        <v>1261</v>
      </c>
      <c r="AA153" s="12" t="str">
        <f t="shared" si="8"/>
        <v>UNK-UNK-UNK-UNK-INSP</v>
      </c>
    </row>
    <row r="154" spans="1:27" ht="20" customHeight="1" x14ac:dyDescent="0.35">
      <c r="A154" s="6" t="s">
        <v>1250</v>
      </c>
      <c r="B154" s="6" t="s">
        <v>764</v>
      </c>
      <c r="C154" s="13">
        <v>45308</v>
      </c>
      <c r="D154" s="6" t="s">
        <v>716</v>
      </c>
      <c r="E154" s="6" t="s">
        <v>14</v>
      </c>
      <c r="F154" s="6" t="s">
        <v>33</v>
      </c>
      <c r="G154" s="7" t="s">
        <v>412</v>
      </c>
      <c r="H154" s="7" t="s">
        <v>1356</v>
      </c>
      <c r="I154" s="8" t="s">
        <v>1252</v>
      </c>
      <c r="J154" s="8" t="s">
        <v>1252</v>
      </c>
      <c r="K154" s="9">
        <v>45308.111805555563</v>
      </c>
      <c r="L154" s="9">
        <v>45308.12222222222</v>
      </c>
      <c r="M154" s="9">
        <v>45308.143055555563</v>
      </c>
      <c r="N154" s="9">
        <v>45308.310416666667</v>
      </c>
      <c r="O154" s="10">
        <f t="shared" si="6"/>
        <v>4.0166666664881632</v>
      </c>
      <c r="P154" s="8">
        <v>0</v>
      </c>
      <c r="Q154" s="8" t="s">
        <v>1253</v>
      </c>
      <c r="R154" s="6" t="s">
        <v>1320</v>
      </c>
      <c r="S154" s="7" t="s">
        <v>1321</v>
      </c>
      <c r="T154" s="8" t="s">
        <v>1256</v>
      </c>
      <c r="U154" s="11">
        <f t="shared" si="7"/>
        <v>1</v>
      </c>
      <c r="V154" s="8" t="s">
        <v>1322</v>
      </c>
      <c r="W154" s="8" t="s">
        <v>1258</v>
      </c>
      <c r="X154" s="8" t="s">
        <v>1323</v>
      </c>
      <c r="Y154" s="8" t="s">
        <v>1260</v>
      </c>
      <c r="Z154" s="8" t="s">
        <v>1312</v>
      </c>
      <c r="AA154" s="12" t="str">
        <f t="shared" si="8"/>
        <v>SEA-DE-LEK-MEC-REP</v>
      </c>
    </row>
    <row r="155" spans="1:27" ht="20" customHeight="1" x14ac:dyDescent="0.35">
      <c r="A155" s="6" t="s">
        <v>1250</v>
      </c>
      <c r="B155" s="6" t="s">
        <v>768</v>
      </c>
      <c r="C155" s="13">
        <v>45312</v>
      </c>
      <c r="D155" s="6" t="s">
        <v>1383</v>
      </c>
      <c r="E155" s="6" t="s">
        <v>34</v>
      </c>
      <c r="F155" s="6" t="s">
        <v>1404</v>
      </c>
      <c r="G155" s="7" t="s">
        <v>265</v>
      </c>
      <c r="H155" s="7" t="s">
        <v>1337</v>
      </c>
      <c r="I155" s="8" t="s">
        <v>1272</v>
      </c>
      <c r="J155" s="8" t="s">
        <v>1252</v>
      </c>
      <c r="K155" s="9">
        <v>45312.556944444441</v>
      </c>
      <c r="L155" s="9">
        <v>45312.567361111112</v>
      </c>
      <c r="M155" s="9">
        <v>45312.588194444441</v>
      </c>
      <c r="N155" s="9">
        <v>45312.884027777778</v>
      </c>
      <c r="O155" s="10">
        <f t="shared" si="6"/>
        <v>7.1000000000931323</v>
      </c>
      <c r="P155" s="8">
        <v>0</v>
      </c>
      <c r="Q155" s="8" t="s">
        <v>1253</v>
      </c>
      <c r="R155" s="6" t="s">
        <v>1273</v>
      </c>
      <c r="S155" s="7" t="s">
        <v>1274</v>
      </c>
      <c r="T155" s="8" t="s">
        <v>1256</v>
      </c>
      <c r="U155" s="11">
        <f t="shared" si="7"/>
        <v>1</v>
      </c>
      <c r="V155" s="8" t="s">
        <v>1305</v>
      </c>
      <c r="W155" s="8" t="s">
        <v>1276</v>
      </c>
      <c r="X155" s="8" t="s">
        <v>1306</v>
      </c>
      <c r="Y155" s="8" t="s">
        <v>1290</v>
      </c>
      <c r="Z155" s="8" t="s">
        <v>1278</v>
      </c>
      <c r="AA155" s="12" t="str">
        <f t="shared" si="8"/>
        <v>SYS-CTRL-TRP-CTL-RST</v>
      </c>
    </row>
    <row r="156" spans="1:27" ht="20" customHeight="1" x14ac:dyDescent="0.35">
      <c r="A156" s="6" t="s">
        <v>1250</v>
      </c>
      <c r="B156" s="6" t="s">
        <v>773</v>
      </c>
      <c r="C156" s="13">
        <v>45331</v>
      </c>
      <c r="D156" s="6" t="s">
        <v>775</v>
      </c>
      <c r="E156" s="6" t="s">
        <v>47</v>
      </c>
      <c r="F156" s="6" t="s">
        <v>1405</v>
      </c>
      <c r="G156" s="7" t="s">
        <v>776</v>
      </c>
      <c r="H156" s="7" t="s">
        <v>1283</v>
      </c>
      <c r="I156" s="8" t="s">
        <v>1284</v>
      </c>
      <c r="J156" s="8" t="s">
        <v>1285</v>
      </c>
      <c r="K156" s="9">
        <v>45331.291666666657</v>
      </c>
      <c r="L156" s="9">
        <v>45331.291666666657</v>
      </c>
      <c r="M156" s="9">
        <v>45331.291666666657</v>
      </c>
      <c r="N156" s="9">
        <v>45331.304861111108</v>
      </c>
      <c r="O156" s="10">
        <f t="shared" si="6"/>
        <v>0.31666666682576761</v>
      </c>
      <c r="P156" s="8">
        <v>1</v>
      </c>
      <c r="Q156" s="8" t="s">
        <v>1263</v>
      </c>
      <c r="R156" s="6" t="s">
        <v>1286</v>
      </c>
      <c r="S156" s="7" t="s">
        <v>1287</v>
      </c>
      <c r="T156" s="8" t="s">
        <v>1256</v>
      </c>
      <c r="U156" s="11">
        <f t="shared" si="7"/>
        <v>0</v>
      </c>
      <c r="V156" s="8" t="s">
        <v>1288</v>
      </c>
      <c r="W156" s="8" t="s">
        <v>1276</v>
      </c>
      <c r="X156" s="8" t="s">
        <v>1289</v>
      </c>
      <c r="Y156" s="8" t="s">
        <v>1290</v>
      </c>
      <c r="Z156" s="8" t="s">
        <v>1284</v>
      </c>
      <c r="AA156" s="12" t="str">
        <f t="shared" si="8"/>
        <v>ACT-CTRL-STK-CTL-PM</v>
      </c>
    </row>
    <row r="157" spans="1:27" ht="20" customHeight="1" x14ac:dyDescent="0.35">
      <c r="A157" s="6" t="s">
        <v>1250</v>
      </c>
      <c r="B157" s="6" t="s">
        <v>779</v>
      </c>
      <c r="C157" s="13">
        <v>45707</v>
      </c>
      <c r="D157" s="6" t="s">
        <v>781</v>
      </c>
      <c r="E157" s="6" t="s">
        <v>41</v>
      </c>
      <c r="F157" s="6" t="s">
        <v>33</v>
      </c>
      <c r="G157" s="7" t="s">
        <v>45</v>
      </c>
      <c r="H157" s="7" t="s">
        <v>1291</v>
      </c>
      <c r="I157" s="8" t="s">
        <v>1292</v>
      </c>
      <c r="J157" s="8" t="s">
        <v>1293</v>
      </c>
      <c r="K157" s="9">
        <v>45707.336111111108</v>
      </c>
      <c r="L157" s="9">
        <v>45707.34652777778</v>
      </c>
      <c r="M157" s="9">
        <v>45707.367361111108</v>
      </c>
      <c r="N157" s="9">
        <v>45707.44027777778</v>
      </c>
      <c r="O157" s="10">
        <f t="shared" si="6"/>
        <v>1.7500000001164153</v>
      </c>
      <c r="P157" s="8">
        <v>0</v>
      </c>
      <c r="Q157" s="8" t="s">
        <v>1253</v>
      </c>
      <c r="R157" s="6" t="s">
        <v>1294</v>
      </c>
      <c r="S157" s="7" t="s">
        <v>1295</v>
      </c>
      <c r="T157" s="8" t="s">
        <v>1266</v>
      </c>
      <c r="U157" s="11">
        <f t="shared" si="7"/>
        <v>0</v>
      </c>
      <c r="V157" s="8" t="s">
        <v>1288</v>
      </c>
      <c r="W157" s="8" t="s">
        <v>1276</v>
      </c>
      <c r="X157" s="8" t="s">
        <v>1289</v>
      </c>
      <c r="Y157" s="8" t="s">
        <v>1290</v>
      </c>
      <c r="Z157" s="8" t="s">
        <v>1297</v>
      </c>
      <c r="AA157" s="12" t="str">
        <f t="shared" si="8"/>
        <v>ACT-CTRL-STK-CTL-ADJ</v>
      </c>
    </row>
    <row r="158" spans="1:27" ht="20" customHeight="1" x14ac:dyDescent="0.35">
      <c r="A158" s="6" t="s">
        <v>1250</v>
      </c>
      <c r="B158" s="6" t="s">
        <v>783</v>
      </c>
      <c r="C158" s="13">
        <v>45491</v>
      </c>
      <c r="D158" s="6" t="s">
        <v>785</v>
      </c>
      <c r="E158" s="6" t="s">
        <v>41</v>
      </c>
      <c r="F158" s="6" t="s">
        <v>144</v>
      </c>
      <c r="G158" s="7" t="s">
        <v>121</v>
      </c>
      <c r="H158" s="7" t="s">
        <v>1325</v>
      </c>
      <c r="I158" s="8" t="s">
        <v>1292</v>
      </c>
      <c r="J158" s="8" t="s">
        <v>1293</v>
      </c>
      <c r="K158" s="9">
        <v>45491.583333333343</v>
      </c>
      <c r="L158" s="9">
        <v>45491.59375</v>
      </c>
      <c r="M158" s="9">
        <v>45491.614583333343</v>
      </c>
      <c r="N158" s="9">
        <v>45491.664583333331</v>
      </c>
      <c r="O158" s="10">
        <f t="shared" si="6"/>
        <v>1.1999999997206032</v>
      </c>
      <c r="P158" s="8">
        <v>0</v>
      </c>
      <c r="Q158" s="8" t="s">
        <v>1263</v>
      </c>
      <c r="R158" s="6" t="s">
        <v>1294</v>
      </c>
      <c r="S158" s="7" t="s">
        <v>1295</v>
      </c>
      <c r="T158" s="8" t="s">
        <v>1256</v>
      </c>
      <c r="U158" s="11">
        <f t="shared" si="7"/>
        <v>0</v>
      </c>
      <c r="V158" s="8" t="s">
        <v>1296</v>
      </c>
      <c r="W158" s="8" t="s">
        <v>1296</v>
      </c>
      <c r="X158" s="8" t="s">
        <v>1296</v>
      </c>
      <c r="Y158" s="8" t="s">
        <v>1296</v>
      </c>
      <c r="Z158" s="8" t="s">
        <v>1261</v>
      </c>
      <c r="AA158" s="12" t="str">
        <f t="shared" si="8"/>
        <v>UNK-UNK-UNK-UNK-INSP</v>
      </c>
    </row>
    <row r="159" spans="1:27" ht="20" customHeight="1" x14ac:dyDescent="0.35">
      <c r="A159" s="6" t="s">
        <v>1250</v>
      </c>
      <c r="B159" s="6" t="s">
        <v>788</v>
      </c>
      <c r="C159" s="13">
        <v>45294</v>
      </c>
      <c r="D159" s="6" t="s">
        <v>1309</v>
      </c>
      <c r="E159" s="6" t="s">
        <v>47</v>
      </c>
      <c r="F159" s="6" t="s">
        <v>1405</v>
      </c>
      <c r="G159" s="7" t="s">
        <v>25</v>
      </c>
      <c r="H159" s="7" t="s">
        <v>1271</v>
      </c>
      <c r="I159" s="8" t="s">
        <v>1272</v>
      </c>
      <c r="J159" s="8" t="s">
        <v>1252</v>
      </c>
      <c r="K159" s="9">
        <v>45294.613888888889</v>
      </c>
      <c r="L159" s="9">
        <v>45294.624305555553</v>
      </c>
      <c r="M159" s="9">
        <v>45294.645138888889</v>
      </c>
      <c r="N159" s="9">
        <v>45294.768055555563</v>
      </c>
      <c r="O159" s="10">
        <f t="shared" si="6"/>
        <v>2.9500000001862645</v>
      </c>
      <c r="P159" s="8">
        <v>0</v>
      </c>
      <c r="Q159" s="8" t="s">
        <v>1263</v>
      </c>
      <c r="R159" s="6" t="s">
        <v>1273</v>
      </c>
      <c r="S159" s="7" t="s">
        <v>1274</v>
      </c>
      <c r="T159" s="8" t="s">
        <v>1256</v>
      </c>
      <c r="U159" s="11">
        <f t="shared" si="7"/>
        <v>1</v>
      </c>
      <c r="V159" s="8" t="s">
        <v>1305</v>
      </c>
      <c r="W159" s="8" t="s">
        <v>1276</v>
      </c>
      <c r="X159" s="8" t="s">
        <v>1306</v>
      </c>
      <c r="Y159" s="8" t="s">
        <v>1290</v>
      </c>
      <c r="Z159" s="8" t="s">
        <v>1278</v>
      </c>
      <c r="AA159" s="12" t="str">
        <f t="shared" si="8"/>
        <v>SYS-CTRL-TRP-CTL-RST</v>
      </c>
    </row>
    <row r="160" spans="1:27" ht="20" customHeight="1" x14ac:dyDescent="0.35">
      <c r="A160" s="6" t="s">
        <v>1250</v>
      </c>
      <c r="B160" s="6" t="s">
        <v>792</v>
      </c>
      <c r="C160" s="13">
        <v>45786</v>
      </c>
      <c r="D160" s="6" t="s">
        <v>794</v>
      </c>
      <c r="E160" s="6" t="s">
        <v>41</v>
      </c>
      <c r="F160" s="6" t="s">
        <v>20</v>
      </c>
      <c r="G160" s="7" t="s">
        <v>116</v>
      </c>
      <c r="H160" s="7" t="s">
        <v>1324</v>
      </c>
      <c r="I160" s="8" t="s">
        <v>1292</v>
      </c>
      <c r="J160" s="8" t="s">
        <v>1293</v>
      </c>
      <c r="K160" s="9">
        <v>45786.912499999999</v>
      </c>
      <c r="L160" s="9">
        <v>45786.92291666667</v>
      </c>
      <c r="M160" s="9">
        <v>45786.943749999999</v>
      </c>
      <c r="N160" s="9">
        <v>45787.049305555563</v>
      </c>
      <c r="O160" s="10">
        <f t="shared" si="6"/>
        <v>2.533333333558403</v>
      </c>
      <c r="P160" s="8">
        <v>0</v>
      </c>
      <c r="Q160" s="8" t="s">
        <v>1263</v>
      </c>
      <c r="R160" s="6" t="s">
        <v>1294</v>
      </c>
      <c r="S160" s="7" t="s">
        <v>1295</v>
      </c>
      <c r="T160" s="8" t="s">
        <v>1256</v>
      </c>
      <c r="U160" s="11">
        <f t="shared" si="7"/>
        <v>0</v>
      </c>
      <c r="V160" s="8" t="s">
        <v>1296</v>
      </c>
      <c r="W160" s="8" t="s">
        <v>1296</v>
      </c>
      <c r="X160" s="8" t="s">
        <v>1296</v>
      </c>
      <c r="Y160" s="8" t="s">
        <v>1296</v>
      </c>
      <c r="Z160" s="8" t="s">
        <v>1312</v>
      </c>
      <c r="AA160" s="12" t="str">
        <f t="shared" si="8"/>
        <v>UNK-UNK-UNK-UNK-REP</v>
      </c>
    </row>
    <row r="161" spans="1:27" ht="20" customHeight="1" x14ac:dyDescent="0.35">
      <c r="A161" s="6" t="s">
        <v>1250</v>
      </c>
      <c r="B161" s="6" t="s">
        <v>797</v>
      </c>
      <c r="C161" s="13">
        <v>45857</v>
      </c>
      <c r="D161" s="6" t="s">
        <v>913</v>
      </c>
      <c r="E161" s="6" t="s">
        <v>47</v>
      </c>
      <c r="F161" s="6" t="s">
        <v>1408</v>
      </c>
      <c r="G161" s="7" t="s">
        <v>82</v>
      </c>
      <c r="H161" s="7" t="s">
        <v>1311</v>
      </c>
      <c r="I161" s="8" t="s">
        <v>1292</v>
      </c>
      <c r="J161" s="8" t="s">
        <v>1293</v>
      </c>
      <c r="K161" s="9">
        <v>45857.676388888889</v>
      </c>
      <c r="L161" s="9">
        <v>45857.686805555553</v>
      </c>
      <c r="M161" s="9">
        <v>45857.707638888889</v>
      </c>
      <c r="N161" s="9">
        <v>45857.921527777777</v>
      </c>
      <c r="O161" s="10">
        <f t="shared" si="6"/>
        <v>5.1333333333022892</v>
      </c>
      <c r="P161" s="8">
        <v>0</v>
      </c>
      <c r="Q161" s="8" t="s">
        <v>1263</v>
      </c>
      <c r="R161" s="6" t="s">
        <v>1294</v>
      </c>
      <c r="S161" s="7" t="s">
        <v>1295</v>
      </c>
      <c r="T161" s="8" t="s">
        <v>1256</v>
      </c>
      <c r="U161" s="11">
        <f t="shared" si="7"/>
        <v>0</v>
      </c>
      <c r="V161" s="8" t="s">
        <v>1296</v>
      </c>
      <c r="W161" s="8" t="s">
        <v>1296</v>
      </c>
      <c r="X161" s="8" t="s">
        <v>1296</v>
      </c>
      <c r="Y161" s="8" t="s">
        <v>1296</v>
      </c>
      <c r="Z161" s="8" t="s">
        <v>1312</v>
      </c>
      <c r="AA161" s="12" t="str">
        <f t="shared" si="8"/>
        <v>UNK-UNK-UNK-UNK-REP</v>
      </c>
    </row>
    <row r="162" spans="1:27" ht="20" customHeight="1" x14ac:dyDescent="0.35">
      <c r="A162" s="6" t="s">
        <v>1250</v>
      </c>
      <c r="B162" s="6" t="s">
        <v>801</v>
      </c>
      <c r="C162" s="13">
        <v>45503</v>
      </c>
      <c r="D162" s="6" t="s">
        <v>721</v>
      </c>
      <c r="E162" s="6" t="s">
        <v>34</v>
      </c>
      <c r="F162" s="6" t="s">
        <v>1406</v>
      </c>
      <c r="G162" s="7" t="s">
        <v>116</v>
      </c>
      <c r="H162" s="7" t="s">
        <v>1324</v>
      </c>
      <c r="I162" s="8" t="s">
        <v>1292</v>
      </c>
      <c r="J162" s="8" t="s">
        <v>1293</v>
      </c>
      <c r="K162" s="9">
        <v>45503.984722222223</v>
      </c>
      <c r="L162" s="9">
        <v>45503.995138888888</v>
      </c>
      <c r="M162" s="9">
        <v>45504.015972222223</v>
      </c>
      <c r="N162" s="9">
        <v>45504.255555555559</v>
      </c>
      <c r="O162" s="10">
        <f t="shared" si="6"/>
        <v>5.7500000000582077</v>
      </c>
      <c r="P162" s="8">
        <v>0</v>
      </c>
      <c r="Q162" s="8" t="s">
        <v>1263</v>
      </c>
      <c r="R162" s="6" t="s">
        <v>1294</v>
      </c>
      <c r="S162" s="7" t="s">
        <v>1295</v>
      </c>
      <c r="T162" s="8" t="s">
        <v>1256</v>
      </c>
      <c r="U162" s="11">
        <f t="shared" si="7"/>
        <v>0</v>
      </c>
      <c r="V162" s="8" t="s">
        <v>1296</v>
      </c>
      <c r="W162" s="8" t="s">
        <v>1296</v>
      </c>
      <c r="X162" s="8" t="s">
        <v>1296</v>
      </c>
      <c r="Y162" s="8" t="s">
        <v>1296</v>
      </c>
      <c r="Z162" s="8" t="s">
        <v>1312</v>
      </c>
      <c r="AA162" s="12" t="str">
        <f t="shared" si="8"/>
        <v>UNK-UNK-UNK-UNK-REP</v>
      </c>
    </row>
    <row r="163" spans="1:27" ht="20" customHeight="1" x14ac:dyDescent="0.35">
      <c r="A163" s="6" t="s">
        <v>1250</v>
      </c>
      <c r="B163" s="6" t="s">
        <v>805</v>
      </c>
      <c r="C163" s="13">
        <v>45208</v>
      </c>
      <c r="D163" s="6" t="s">
        <v>1384</v>
      </c>
      <c r="E163" s="6" t="s">
        <v>60</v>
      </c>
      <c r="F163" s="6" t="s">
        <v>1405</v>
      </c>
      <c r="G163" s="7" t="s">
        <v>808</v>
      </c>
      <c r="H163" s="7" t="s">
        <v>1385</v>
      </c>
      <c r="I163" s="8" t="s">
        <v>1252</v>
      </c>
      <c r="J163" s="8" t="s">
        <v>1252</v>
      </c>
      <c r="K163" s="9">
        <v>45208.416666666657</v>
      </c>
      <c r="L163" s="9">
        <v>45208.427083333343</v>
      </c>
      <c r="M163" s="9">
        <v>45208.447916666657</v>
      </c>
      <c r="N163" s="9">
        <v>45208.541666666657</v>
      </c>
      <c r="O163" s="10">
        <f t="shared" si="6"/>
        <v>2.25</v>
      </c>
      <c r="P163" s="8">
        <v>0</v>
      </c>
      <c r="Q163" s="8" t="s">
        <v>1253</v>
      </c>
      <c r="R163" s="6" t="s">
        <v>1320</v>
      </c>
      <c r="S163" s="7" t="s">
        <v>1321</v>
      </c>
      <c r="T163" s="8" t="s">
        <v>1266</v>
      </c>
      <c r="U163" s="11">
        <f t="shared" si="7"/>
        <v>1</v>
      </c>
      <c r="V163" s="8" t="s">
        <v>1322</v>
      </c>
      <c r="W163" s="8" t="s">
        <v>1258</v>
      </c>
      <c r="X163" s="8" t="s">
        <v>1323</v>
      </c>
      <c r="Y163" s="8" t="s">
        <v>1260</v>
      </c>
      <c r="Z163" s="8" t="s">
        <v>1312</v>
      </c>
      <c r="AA163" s="12" t="str">
        <f t="shared" si="8"/>
        <v>SEA-DE-LEK-MEC-REP</v>
      </c>
    </row>
    <row r="164" spans="1:27" ht="20" customHeight="1" x14ac:dyDescent="0.35">
      <c r="A164" s="6" t="s">
        <v>1250</v>
      </c>
      <c r="B164" s="6" t="s">
        <v>810</v>
      </c>
      <c r="C164" s="13">
        <v>45422</v>
      </c>
      <c r="D164" s="6" t="s">
        <v>460</v>
      </c>
      <c r="E164" s="6" t="s">
        <v>207</v>
      </c>
      <c r="F164" s="6" t="s">
        <v>144</v>
      </c>
      <c r="G164" s="7" t="s">
        <v>811</v>
      </c>
      <c r="H164" s="7" t="s">
        <v>1386</v>
      </c>
      <c r="I164" s="8" t="s">
        <v>1292</v>
      </c>
      <c r="J164" s="8" t="s">
        <v>1293</v>
      </c>
      <c r="K164" s="9">
        <v>45422.225694444453</v>
      </c>
      <c r="L164" s="9">
        <v>45422.236111111109</v>
      </c>
      <c r="M164" s="9">
        <v>45422.256944444453</v>
      </c>
      <c r="N164" s="9">
        <v>45422.311805555553</v>
      </c>
      <c r="O164" s="10">
        <f t="shared" si="6"/>
        <v>1.316666666418314</v>
      </c>
      <c r="P164" s="8">
        <v>0</v>
      </c>
      <c r="Q164" s="8" t="s">
        <v>1263</v>
      </c>
      <c r="R164" s="6" t="s">
        <v>1294</v>
      </c>
      <c r="S164" s="7" t="s">
        <v>1295</v>
      </c>
      <c r="T164" s="8" t="s">
        <v>1256</v>
      </c>
      <c r="U164" s="11">
        <f t="shared" si="7"/>
        <v>0</v>
      </c>
      <c r="V164" s="8" t="s">
        <v>1275</v>
      </c>
      <c r="W164" s="8" t="s">
        <v>1276</v>
      </c>
      <c r="X164" s="8" t="s">
        <v>1277</v>
      </c>
      <c r="Y164" s="8" t="s">
        <v>1275</v>
      </c>
      <c r="Z164" s="8" t="s">
        <v>1312</v>
      </c>
      <c r="AA164" s="12" t="str">
        <f t="shared" si="8"/>
        <v>INS-CTRL-DRF-INS-REP</v>
      </c>
    </row>
    <row r="165" spans="1:27" ht="20" customHeight="1" x14ac:dyDescent="0.35">
      <c r="A165" s="6" t="s">
        <v>1250</v>
      </c>
      <c r="B165" s="6" t="s">
        <v>814</v>
      </c>
      <c r="C165" s="13">
        <v>44952</v>
      </c>
      <c r="D165" s="6" t="s">
        <v>608</v>
      </c>
      <c r="E165" s="6" t="s">
        <v>21</v>
      </c>
      <c r="F165" s="6" t="s">
        <v>33</v>
      </c>
      <c r="G165" s="7" t="s">
        <v>82</v>
      </c>
      <c r="H165" s="7" t="s">
        <v>1311</v>
      </c>
      <c r="I165" s="8" t="s">
        <v>1292</v>
      </c>
      <c r="J165" s="8" t="s">
        <v>1293</v>
      </c>
      <c r="K165" s="9">
        <v>44952.616666666669</v>
      </c>
      <c r="L165" s="9">
        <v>44952.627083333333</v>
      </c>
      <c r="M165" s="9">
        <v>44952.647916666669</v>
      </c>
      <c r="N165" s="9">
        <v>44952.749305555553</v>
      </c>
      <c r="O165" s="10">
        <f t="shared" si="6"/>
        <v>2.4333333332324401</v>
      </c>
      <c r="P165" s="8">
        <v>0</v>
      </c>
      <c r="Q165" s="8" t="s">
        <v>1253</v>
      </c>
      <c r="R165" s="6" t="s">
        <v>1294</v>
      </c>
      <c r="S165" s="7" t="s">
        <v>1295</v>
      </c>
      <c r="T165" s="8" t="s">
        <v>1256</v>
      </c>
      <c r="U165" s="11">
        <f t="shared" si="7"/>
        <v>0</v>
      </c>
      <c r="V165" s="8" t="s">
        <v>1288</v>
      </c>
      <c r="W165" s="8" t="s">
        <v>1276</v>
      </c>
      <c r="X165" s="8" t="s">
        <v>1289</v>
      </c>
      <c r="Y165" s="8" t="s">
        <v>1290</v>
      </c>
      <c r="Z165" s="8" t="s">
        <v>1312</v>
      </c>
      <c r="AA165" s="12" t="str">
        <f t="shared" si="8"/>
        <v>ACT-CTRL-STK-CTL-REP</v>
      </c>
    </row>
    <row r="166" spans="1:27" ht="20" customHeight="1" x14ac:dyDescent="0.35">
      <c r="A166" s="6" t="s">
        <v>1250</v>
      </c>
      <c r="B166" s="6" t="s">
        <v>819</v>
      </c>
      <c r="C166" s="13">
        <v>45418</v>
      </c>
      <c r="D166" s="6" t="s">
        <v>383</v>
      </c>
      <c r="E166" s="6" t="s">
        <v>47</v>
      </c>
      <c r="F166" s="6" t="s">
        <v>1405</v>
      </c>
      <c r="G166" s="7" t="s">
        <v>82</v>
      </c>
      <c r="H166" s="7" t="s">
        <v>1311</v>
      </c>
      <c r="I166" s="8" t="s">
        <v>1292</v>
      </c>
      <c r="J166" s="8" t="s">
        <v>1293</v>
      </c>
      <c r="K166" s="9">
        <v>45418.918749999997</v>
      </c>
      <c r="L166" s="9">
        <v>45418.929166666669</v>
      </c>
      <c r="M166" s="9">
        <v>45418.95</v>
      </c>
      <c r="N166" s="9">
        <v>45419.23333333333</v>
      </c>
      <c r="O166" s="10">
        <f t="shared" si="6"/>
        <v>6.7999999999883585</v>
      </c>
      <c r="P166" s="8">
        <v>0</v>
      </c>
      <c r="Q166" s="8" t="s">
        <v>1263</v>
      </c>
      <c r="R166" s="6" t="s">
        <v>1294</v>
      </c>
      <c r="S166" s="7" t="s">
        <v>1295</v>
      </c>
      <c r="T166" s="8" t="s">
        <v>1256</v>
      </c>
      <c r="U166" s="11">
        <f t="shared" si="7"/>
        <v>0</v>
      </c>
      <c r="V166" s="8" t="s">
        <v>1296</v>
      </c>
      <c r="W166" s="8" t="s">
        <v>1296</v>
      </c>
      <c r="X166" s="8" t="s">
        <v>1296</v>
      </c>
      <c r="Y166" s="8" t="s">
        <v>1296</v>
      </c>
      <c r="Z166" s="8" t="s">
        <v>1312</v>
      </c>
      <c r="AA166" s="12" t="str">
        <f t="shared" si="8"/>
        <v>UNK-UNK-UNK-UNK-REP</v>
      </c>
    </row>
    <row r="167" spans="1:27" ht="20" customHeight="1" x14ac:dyDescent="0.35">
      <c r="A167" s="6" t="s">
        <v>1250</v>
      </c>
      <c r="B167" s="6" t="s">
        <v>824</v>
      </c>
      <c r="C167" s="13">
        <v>45680</v>
      </c>
      <c r="D167" s="6" t="s">
        <v>826</v>
      </c>
      <c r="E167" s="6" t="s">
        <v>21</v>
      </c>
      <c r="F167" s="6" t="s">
        <v>1408</v>
      </c>
      <c r="G167" s="7" t="s">
        <v>38</v>
      </c>
      <c r="H167" s="7" t="s">
        <v>1283</v>
      </c>
      <c r="I167" s="8" t="s">
        <v>1284</v>
      </c>
      <c r="J167" s="8" t="s">
        <v>1285</v>
      </c>
      <c r="K167" s="9">
        <v>45680.5</v>
      </c>
      <c r="L167" s="9">
        <v>45680.5</v>
      </c>
      <c r="M167" s="9">
        <v>45680.5</v>
      </c>
      <c r="N167" s="9">
        <v>45680.554166666669</v>
      </c>
      <c r="O167" s="10">
        <f t="shared" si="6"/>
        <v>1.3000000000465661</v>
      </c>
      <c r="P167" s="8">
        <v>1</v>
      </c>
      <c r="Q167" s="8" t="s">
        <v>1263</v>
      </c>
      <c r="R167" s="6" t="s">
        <v>1286</v>
      </c>
      <c r="S167" s="7" t="s">
        <v>1287</v>
      </c>
      <c r="T167" s="8" t="s">
        <v>1256</v>
      </c>
      <c r="U167" s="11">
        <f t="shared" si="7"/>
        <v>0</v>
      </c>
      <c r="V167" s="8" t="s">
        <v>1296</v>
      </c>
      <c r="W167" s="8" t="s">
        <v>1296</v>
      </c>
      <c r="X167" s="8" t="s">
        <v>1296</v>
      </c>
      <c r="Y167" s="8" t="s">
        <v>1296</v>
      </c>
      <c r="Z167" s="8" t="s">
        <v>1261</v>
      </c>
      <c r="AA167" s="12" t="str">
        <f t="shared" si="8"/>
        <v>UNK-UNK-UNK-UNK-INSP</v>
      </c>
    </row>
    <row r="168" spans="1:27" ht="20" customHeight="1" x14ac:dyDescent="0.35">
      <c r="A168" s="6" t="s">
        <v>1250</v>
      </c>
      <c r="B168" s="6" t="s">
        <v>829</v>
      </c>
      <c r="C168" s="13">
        <v>44950</v>
      </c>
      <c r="D168" s="6" t="s">
        <v>830</v>
      </c>
      <c r="E168" s="6" t="s">
        <v>41</v>
      </c>
      <c r="F168" s="6" t="s">
        <v>1404</v>
      </c>
      <c r="G168" s="7" t="s">
        <v>121</v>
      </c>
      <c r="H168" s="7" t="s">
        <v>1325</v>
      </c>
      <c r="I168" s="8" t="s">
        <v>1292</v>
      </c>
      <c r="J168" s="8" t="s">
        <v>1293</v>
      </c>
      <c r="K168" s="9">
        <v>44950.333333333343</v>
      </c>
      <c r="L168" s="9">
        <v>44950.34375</v>
      </c>
      <c r="M168" s="9">
        <v>44950.364583333343</v>
      </c>
      <c r="N168" s="9">
        <v>44950.416666666657</v>
      </c>
      <c r="O168" s="10">
        <f t="shared" si="6"/>
        <v>1.2499999995343387</v>
      </c>
      <c r="P168" s="8">
        <v>0</v>
      </c>
      <c r="Q168" s="8" t="s">
        <v>1263</v>
      </c>
      <c r="R168" s="6" t="s">
        <v>1294</v>
      </c>
      <c r="S168" s="7" t="s">
        <v>1295</v>
      </c>
      <c r="T168" s="8" t="s">
        <v>1372</v>
      </c>
      <c r="U168" s="11">
        <f t="shared" si="7"/>
        <v>0</v>
      </c>
      <c r="V168" s="8" t="s">
        <v>1296</v>
      </c>
      <c r="W168" s="8" t="s">
        <v>1296</v>
      </c>
      <c r="X168" s="8" t="s">
        <v>1296</v>
      </c>
      <c r="Y168" s="8" t="s">
        <v>1296</v>
      </c>
      <c r="Z168" s="8" t="s">
        <v>1261</v>
      </c>
      <c r="AA168" s="12" t="str">
        <f t="shared" si="8"/>
        <v>UNK-UNK-UNK-UNK-INSP</v>
      </c>
    </row>
    <row r="169" spans="1:27" ht="20" customHeight="1" x14ac:dyDescent="0.35">
      <c r="A169" s="6" t="s">
        <v>1250</v>
      </c>
      <c r="B169" s="6" t="s">
        <v>831</v>
      </c>
      <c r="C169" s="13">
        <v>45428</v>
      </c>
      <c r="D169" s="6" t="s">
        <v>1387</v>
      </c>
      <c r="E169" s="6" t="s">
        <v>41</v>
      </c>
      <c r="F169" s="6" t="s">
        <v>1406</v>
      </c>
      <c r="G169" s="7" t="s">
        <v>692</v>
      </c>
      <c r="H169" s="7" t="s">
        <v>1380</v>
      </c>
      <c r="I169" s="8" t="s">
        <v>1272</v>
      </c>
      <c r="J169" s="8" t="s">
        <v>1252</v>
      </c>
      <c r="K169" s="9">
        <v>45428.844444444447</v>
      </c>
      <c r="L169" s="9">
        <v>45428.854861111111</v>
      </c>
      <c r="M169" s="9">
        <v>45428.875694444447</v>
      </c>
      <c r="N169" s="9">
        <v>45428.977777777778</v>
      </c>
      <c r="O169" s="10">
        <f t="shared" si="6"/>
        <v>2.4499999999534339</v>
      </c>
      <c r="P169" s="8">
        <v>0</v>
      </c>
      <c r="Q169" s="8" t="s">
        <v>1263</v>
      </c>
      <c r="R169" s="6" t="s">
        <v>1273</v>
      </c>
      <c r="S169" s="7" t="s">
        <v>1274</v>
      </c>
      <c r="T169" s="8" t="s">
        <v>1256</v>
      </c>
      <c r="U169" s="11">
        <f t="shared" si="7"/>
        <v>1</v>
      </c>
      <c r="V169" s="8" t="s">
        <v>1305</v>
      </c>
      <c r="W169" s="8" t="s">
        <v>1276</v>
      </c>
      <c r="X169" s="8" t="s">
        <v>1306</v>
      </c>
      <c r="Y169" s="8" t="s">
        <v>1290</v>
      </c>
      <c r="Z169" s="8" t="s">
        <v>1278</v>
      </c>
      <c r="AA169" s="12" t="str">
        <f t="shared" si="8"/>
        <v>SYS-CTRL-TRP-CTL-RST</v>
      </c>
    </row>
    <row r="170" spans="1:27" ht="20" customHeight="1" x14ac:dyDescent="0.35">
      <c r="A170" s="6" t="s">
        <v>1250</v>
      </c>
      <c r="B170" s="6" t="s">
        <v>835</v>
      </c>
      <c r="C170" s="13">
        <v>45079</v>
      </c>
      <c r="D170" s="6" t="s">
        <v>358</v>
      </c>
      <c r="E170" s="6" t="s">
        <v>47</v>
      </c>
      <c r="F170" s="6" t="s">
        <v>1405</v>
      </c>
      <c r="G170" s="7" t="s">
        <v>70</v>
      </c>
      <c r="H170" s="7" t="s">
        <v>1308</v>
      </c>
      <c r="I170" s="8" t="s">
        <v>1252</v>
      </c>
      <c r="J170" s="8" t="s">
        <v>1252</v>
      </c>
      <c r="K170" s="9">
        <v>45079.888888888891</v>
      </c>
      <c r="L170" s="9">
        <v>45079.899305555547</v>
      </c>
      <c r="M170" s="9">
        <v>45079.920138888891</v>
      </c>
      <c r="N170" s="9">
        <v>45080.363194444442</v>
      </c>
      <c r="O170" s="10">
        <f t="shared" si="6"/>
        <v>10.633333333244082</v>
      </c>
      <c r="P170" s="8">
        <v>0</v>
      </c>
      <c r="Q170" s="8" t="s">
        <v>1263</v>
      </c>
      <c r="R170" s="6" t="s">
        <v>1299</v>
      </c>
      <c r="S170" s="7" t="s">
        <v>1300</v>
      </c>
      <c r="T170" s="8" t="s">
        <v>1256</v>
      </c>
      <c r="U170" s="11">
        <f t="shared" si="7"/>
        <v>1</v>
      </c>
      <c r="V170" s="8" t="s">
        <v>1301</v>
      </c>
      <c r="W170" s="8" t="s">
        <v>1258</v>
      </c>
      <c r="X170" s="8" t="s">
        <v>1302</v>
      </c>
      <c r="Y170" s="8" t="s">
        <v>1260</v>
      </c>
      <c r="Z170" s="8" t="s">
        <v>1270</v>
      </c>
      <c r="AA170" s="12" t="str">
        <f t="shared" si="8"/>
        <v>BRG-DE-VIB-MEC-RPL</v>
      </c>
    </row>
    <row r="171" spans="1:27" ht="20" customHeight="1" x14ac:dyDescent="0.35">
      <c r="A171" s="6" t="s">
        <v>1250</v>
      </c>
      <c r="B171" s="6" t="s">
        <v>839</v>
      </c>
      <c r="C171" s="13">
        <v>44967</v>
      </c>
      <c r="D171" s="6" t="s">
        <v>37</v>
      </c>
      <c r="E171" s="6" t="s">
        <v>41</v>
      </c>
      <c r="F171" s="6" t="s">
        <v>1408</v>
      </c>
      <c r="G171" s="7" t="s">
        <v>842</v>
      </c>
      <c r="H171" s="7" t="s">
        <v>1388</v>
      </c>
      <c r="I171" s="8" t="s">
        <v>1292</v>
      </c>
      <c r="J171" s="8" t="s">
        <v>1293</v>
      </c>
      <c r="K171" s="9">
        <v>44967.333333333343</v>
      </c>
      <c r="L171" s="9">
        <v>44967.34375</v>
      </c>
      <c r="M171" s="9">
        <v>44967.364583333343</v>
      </c>
      <c r="N171" s="9">
        <v>44967.345833333333</v>
      </c>
      <c r="O171" s="10">
        <f t="shared" si="6"/>
        <v>-0.45000000024447218</v>
      </c>
      <c r="P171" s="8">
        <v>0</v>
      </c>
      <c r="Q171" s="8" t="s">
        <v>1253</v>
      </c>
      <c r="R171" s="6" t="s">
        <v>1294</v>
      </c>
      <c r="S171" s="7" t="s">
        <v>1295</v>
      </c>
      <c r="T171" s="8" t="s">
        <v>1256</v>
      </c>
      <c r="U171" s="11">
        <f t="shared" si="7"/>
        <v>0</v>
      </c>
      <c r="V171" s="8" t="s">
        <v>1288</v>
      </c>
      <c r="W171" s="8" t="s">
        <v>1276</v>
      </c>
      <c r="X171" s="8" t="s">
        <v>1289</v>
      </c>
      <c r="Y171" s="8" t="s">
        <v>1290</v>
      </c>
      <c r="Z171" s="8" t="s">
        <v>1312</v>
      </c>
      <c r="AA171" s="12" t="str">
        <f t="shared" si="8"/>
        <v>ACT-CTRL-STK-CTL-REP</v>
      </c>
    </row>
    <row r="172" spans="1:27" ht="20" customHeight="1" x14ac:dyDescent="0.35">
      <c r="A172" s="6" t="s">
        <v>1250</v>
      </c>
      <c r="B172" s="6" t="s">
        <v>845</v>
      </c>
      <c r="C172" s="13">
        <v>45445</v>
      </c>
      <c r="D172" s="6" t="s">
        <v>706</v>
      </c>
      <c r="E172" s="6" t="s">
        <v>34</v>
      </c>
      <c r="F172" s="6" t="s">
        <v>144</v>
      </c>
      <c r="G172" s="7" t="s">
        <v>82</v>
      </c>
      <c r="H172" s="7" t="s">
        <v>1311</v>
      </c>
      <c r="I172" s="8" t="s">
        <v>1292</v>
      </c>
      <c r="J172" s="8" t="s">
        <v>1293</v>
      </c>
      <c r="K172" s="9">
        <v>45445.431250000001</v>
      </c>
      <c r="L172" s="9">
        <v>45445.441666666673</v>
      </c>
      <c r="M172" s="9">
        <v>45445.462500000001</v>
      </c>
      <c r="N172" s="9">
        <v>45445.535416666673</v>
      </c>
      <c r="O172" s="10">
        <f t="shared" si="6"/>
        <v>1.7500000001164153</v>
      </c>
      <c r="P172" s="8">
        <v>0</v>
      </c>
      <c r="Q172" s="8" t="s">
        <v>1263</v>
      </c>
      <c r="R172" s="6" t="s">
        <v>1294</v>
      </c>
      <c r="S172" s="7" t="s">
        <v>1295</v>
      </c>
      <c r="T172" s="8" t="s">
        <v>1266</v>
      </c>
      <c r="U172" s="11">
        <f t="shared" si="7"/>
        <v>0</v>
      </c>
      <c r="V172" s="8" t="s">
        <v>1296</v>
      </c>
      <c r="W172" s="8" t="s">
        <v>1296</v>
      </c>
      <c r="X172" s="8" t="s">
        <v>1296</v>
      </c>
      <c r="Y172" s="8" t="s">
        <v>1296</v>
      </c>
      <c r="Z172" s="8" t="s">
        <v>1312</v>
      </c>
      <c r="AA172" s="12" t="str">
        <f t="shared" si="8"/>
        <v>UNK-UNK-UNK-UNK-REP</v>
      </c>
    </row>
    <row r="173" spans="1:27" ht="20" customHeight="1" x14ac:dyDescent="0.35">
      <c r="A173" s="6" t="s">
        <v>1250</v>
      </c>
      <c r="B173" s="6" t="s">
        <v>847</v>
      </c>
      <c r="C173" s="13">
        <v>45593</v>
      </c>
      <c r="D173" s="6" t="s">
        <v>711</v>
      </c>
      <c r="E173" s="6" t="s">
        <v>21</v>
      </c>
      <c r="F173" s="6" t="s">
        <v>33</v>
      </c>
      <c r="G173" s="7" t="s">
        <v>850</v>
      </c>
      <c r="H173" s="7" t="s">
        <v>1283</v>
      </c>
      <c r="I173" s="8" t="s">
        <v>1284</v>
      </c>
      <c r="J173" s="8" t="s">
        <v>1285</v>
      </c>
      <c r="K173" s="9">
        <v>45593.28402777778</v>
      </c>
      <c r="L173" s="9">
        <v>45593.28402777778</v>
      </c>
      <c r="M173" s="9">
        <v>45593.28402777778</v>
      </c>
      <c r="N173" s="9">
        <v>45593.34652777778</v>
      </c>
      <c r="O173" s="10">
        <f t="shared" si="6"/>
        <v>1.5</v>
      </c>
      <c r="P173" s="8">
        <v>1</v>
      </c>
      <c r="Q173" s="8" t="s">
        <v>1263</v>
      </c>
      <c r="R173" s="6" t="s">
        <v>1286</v>
      </c>
      <c r="S173" s="7" t="s">
        <v>1287</v>
      </c>
      <c r="T173" s="8" t="s">
        <v>1266</v>
      </c>
      <c r="U173" s="11">
        <f t="shared" si="7"/>
        <v>0</v>
      </c>
      <c r="V173" s="8" t="s">
        <v>1301</v>
      </c>
      <c r="W173" s="8" t="s">
        <v>1258</v>
      </c>
      <c r="X173" s="8" t="s">
        <v>1302</v>
      </c>
      <c r="Y173" s="8" t="s">
        <v>1260</v>
      </c>
      <c r="Z173" s="8" t="s">
        <v>1261</v>
      </c>
      <c r="AA173" s="12" t="str">
        <f t="shared" si="8"/>
        <v>BRG-DE-VIB-MEC-INSP</v>
      </c>
    </row>
    <row r="174" spans="1:27" ht="20" customHeight="1" x14ac:dyDescent="0.35">
      <c r="A174" s="6" t="s">
        <v>1250</v>
      </c>
      <c r="B174" s="6" t="s">
        <v>852</v>
      </c>
      <c r="C174" s="13">
        <v>44965</v>
      </c>
      <c r="D174" s="6" t="s">
        <v>854</v>
      </c>
      <c r="E174" s="6" t="s">
        <v>34</v>
      </c>
      <c r="F174" s="6" t="s">
        <v>1407</v>
      </c>
      <c r="G174" s="7" t="s">
        <v>855</v>
      </c>
      <c r="H174" s="7" t="s">
        <v>1389</v>
      </c>
      <c r="I174" s="8" t="s">
        <v>1272</v>
      </c>
      <c r="J174" s="8" t="s">
        <v>1252</v>
      </c>
      <c r="K174" s="9">
        <v>44965.486111111109</v>
      </c>
      <c r="L174" s="9">
        <v>44965.496527777781</v>
      </c>
      <c r="M174" s="9">
        <v>44965.517361111109</v>
      </c>
      <c r="N174" s="9">
        <v>44965.561111111107</v>
      </c>
      <c r="O174" s="10">
        <f t="shared" si="6"/>
        <v>1.0499999999301508</v>
      </c>
      <c r="P174" s="8">
        <v>0</v>
      </c>
      <c r="Q174" s="8" t="s">
        <v>1263</v>
      </c>
      <c r="R174" s="6" t="s">
        <v>1273</v>
      </c>
      <c r="S174" s="7" t="s">
        <v>1274</v>
      </c>
      <c r="T174" s="8" t="s">
        <v>1256</v>
      </c>
      <c r="U174" s="11">
        <f t="shared" si="7"/>
        <v>1</v>
      </c>
      <c r="V174" s="8" t="s">
        <v>1275</v>
      </c>
      <c r="W174" s="8" t="s">
        <v>1276</v>
      </c>
      <c r="X174" s="8" t="s">
        <v>1277</v>
      </c>
      <c r="Y174" s="8" t="s">
        <v>1275</v>
      </c>
      <c r="Z174" s="8" t="s">
        <v>1278</v>
      </c>
      <c r="AA174" s="12" t="str">
        <f t="shared" si="8"/>
        <v>INS-CTRL-DRF-INS-RST</v>
      </c>
    </row>
    <row r="175" spans="1:27" ht="20" customHeight="1" x14ac:dyDescent="0.35">
      <c r="A175" s="6" t="s">
        <v>1250</v>
      </c>
      <c r="B175" s="6" t="s">
        <v>858</v>
      </c>
      <c r="C175" s="13">
        <v>45589</v>
      </c>
      <c r="D175" s="6" t="s">
        <v>1031</v>
      </c>
      <c r="E175" s="6" t="s">
        <v>21</v>
      </c>
      <c r="F175" s="6" t="s">
        <v>144</v>
      </c>
      <c r="G175" s="7" t="s">
        <v>348</v>
      </c>
      <c r="H175" s="7" t="s">
        <v>1344</v>
      </c>
      <c r="I175" s="8" t="s">
        <v>1252</v>
      </c>
      <c r="J175" s="8" t="s">
        <v>1252</v>
      </c>
      <c r="K175" s="9">
        <v>45589.236805555563</v>
      </c>
      <c r="L175" s="9">
        <v>45589.24722222222</v>
      </c>
      <c r="M175" s="9">
        <v>45589.268055555563</v>
      </c>
      <c r="N175" s="9">
        <v>45589.513194444437</v>
      </c>
      <c r="O175" s="10">
        <f t="shared" si="6"/>
        <v>5.8833333329530433</v>
      </c>
      <c r="P175" s="8">
        <v>0</v>
      </c>
      <c r="Q175" s="8" t="s">
        <v>1263</v>
      </c>
      <c r="R175" s="6" t="s">
        <v>1345</v>
      </c>
      <c r="S175" s="7" t="s">
        <v>1346</v>
      </c>
      <c r="T175" s="8" t="s">
        <v>1256</v>
      </c>
      <c r="U175" s="11">
        <f t="shared" si="7"/>
        <v>1</v>
      </c>
      <c r="V175" s="8" t="s">
        <v>1347</v>
      </c>
      <c r="W175" s="8" t="s">
        <v>1348</v>
      </c>
      <c r="X175" s="8" t="s">
        <v>1349</v>
      </c>
      <c r="Y175" s="8" t="s">
        <v>1350</v>
      </c>
      <c r="Z175" s="8" t="s">
        <v>1312</v>
      </c>
      <c r="AA175" s="12" t="str">
        <f t="shared" si="8"/>
        <v>MOT-ELEC-OHT-ELC-REP</v>
      </c>
    </row>
    <row r="176" spans="1:27" ht="20" customHeight="1" x14ac:dyDescent="0.35">
      <c r="A176" s="6" t="s">
        <v>1250</v>
      </c>
      <c r="B176" s="6" t="s">
        <v>863</v>
      </c>
      <c r="C176" s="13">
        <v>45914</v>
      </c>
      <c r="D176" s="6" t="s">
        <v>865</v>
      </c>
      <c r="E176" s="6" t="s">
        <v>47</v>
      </c>
      <c r="F176" s="6" t="s">
        <v>144</v>
      </c>
      <c r="G176" s="7" t="s">
        <v>64</v>
      </c>
      <c r="H176" s="7" t="s">
        <v>1307</v>
      </c>
      <c r="I176" s="8" t="s">
        <v>1292</v>
      </c>
      <c r="J176" s="8" t="s">
        <v>1293</v>
      </c>
      <c r="K176" s="9">
        <v>45914.197222222218</v>
      </c>
      <c r="L176" s="9">
        <v>45914.207638888889</v>
      </c>
      <c r="M176" s="9">
        <v>45914.228472222218</v>
      </c>
      <c r="N176" s="9">
        <v>45914.531944444447</v>
      </c>
      <c r="O176" s="10">
        <f t="shared" si="6"/>
        <v>7.2833333335001953</v>
      </c>
      <c r="P176" s="8">
        <v>0</v>
      </c>
      <c r="Q176" s="8" t="s">
        <v>1263</v>
      </c>
      <c r="R176" s="6" t="s">
        <v>1294</v>
      </c>
      <c r="S176" s="7" t="s">
        <v>1295</v>
      </c>
      <c r="T176" s="8" t="s">
        <v>1256</v>
      </c>
      <c r="U176" s="11">
        <f t="shared" si="7"/>
        <v>0</v>
      </c>
      <c r="V176" s="8" t="s">
        <v>1296</v>
      </c>
      <c r="W176" s="8" t="s">
        <v>1296</v>
      </c>
      <c r="X176" s="8" t="s">
        <v>1296</v>
      </c>
      <c r="Y176" s="8" t="s">
        <v>1296</v>
      </c>
      <c r="Z176" s="8" t="s">
        <v>1261</v>
      </c>
      <c r="AA176" s="12" t="str">
        <f t="shared" si="8"/>
        <v>UNK-UNK-UNK-UNK-INSP</v>
      </c>
    </row>
    <row r="177" spans="1:27" ht="20" customHeight="1" x14ac:dyDescent="0.35">
      <c r="A177" s="6" t="s">
        <v>1250</v>
      </c>
      <c r="B177" s="6" t="s">
        <v>868</v>
      </c>
      <c r="C177" s="13">
        <v>46002</v>
      </c>
      <c r="D177" s="6" t="s">
        <v>721</v>
      </c>
      <c r="E177" s="6" t="s">
        <v>34</v>
      </c>
      <c r="F177" s="6" t="s">
        <v>144</v>
      </c>
      <c r="G177" s="7" t="s">
        <v>553</v>
      </c>
      <c r="H177" s="7" t="s">
        <v>1373</v>
      </c>
      <c r="I177" s="8" t="s">
        <v>1292</v>
      </c>
      <c r="J177" s="8" t="s">
        <v>1293</v>
      </c>
      <c r="K177" s="9">
        <v>46002.353472222218</v>
      </c>
      <c r="L177" s="9">
        <v>46002.363888888889</v>
      </c>
      <c r="M177" s="9">
        <v>46002.384722222218</v>
      </c>
      <c r="N177" s="9">
        <v>46002.433333333327</v>
      </c>
      <c r="O177" s="10">
        <f t="shared" si="6"/>
        <v>1.1666666666278616</v>
      </c>
      <c r="P177" s="8">
        <v>0</v>
      </c>
      <c r="Q177" s="8" t="s">
        <v>1263</v>
      </c>
      <c r="R177" s="6" t="s">
        <v>1294</v>
      </c>
      <c r="S177" s="7" t="s">
        <v>1295</v>
      </c>
      <c r="T177" s="8" t="s">
        <v>1256</v>
      </c>
      <c r="U177" s="11">
        <f t="shared" si="7"/>
        <v>0</v>
      </c>
      <c r="V177" s="8" t="s">
        <v>1296</v>
      </c>
      <c r="W177" s="8" t="s">
        <v>1296</v>
      </c>
      <c r="X177" s="8" t="s">
        <v>1296</v>
      </c>
      <c r="Y177" s="8" t="s">
        <v>1296</v>
      </c>
      <c r="Z177" s="8" t="s">
        <v>1261</v>
      </c>
      <c r="AA177" s="12" t="str">
        <f t="shared" si="8"/>
        <v>UNK-UNK-UNK-UNK-INSP</v>
      </c>
    </row>
    <row r="178" spans="1:27" ht="20" customHeight="1" x14ac:dyDescent="0.35">
      <c r="A178" s="6" t="s">
        <v>1250</v>
      </c>
      <c r="B178" s="6" t="s">
        <v>873</v>
      </c>
      <c r="C178" s="13">
        <v>44988</v>
      </c>
      <c r="D178" s="6" t="s">
        <v>761</v>
      </c>
      <c r="E178" s="6" t="s">
        <v>47</v>
      </c>
      <c r="F178" s="6" t="s">
        <v>1406</v>
      </c>
      <c r="G178" s="7" t="s">
        <v>875</v>
      </c>
      <c r="H178" s="7" t="s">
        <v>1390</v>
      </c>
      <c r="I178" s="8" t="s">
        <v>1292</v>
      </c>
      <c r="J178" s="8" t="s">
        <v>1293</v>
      </c>
      <c r="K178" s="9">
        <v>44988.73333333333</v>
      </c>
      <c r="L178" s="9">
        <v>44988.743750000001</v>
      </c>
      <c r="M178" s="9">
        <v>44988.76458333333</v>
      </c>
      <c r="N178" s="9">
        <v>44989.004861111112</v>
      </c>
      <c r="O178" s="10">
        <f t="shared" si="6"/>
        <v>5.7666666667792015</v>
      </c>
      <c r="P178" s="8">
        <v>0</v>
      </c>
      <c r="Q178" s="8" t="s">
        <v>1263</v>
      </c>
      <c r="R178" s="6" t="s">
        <v>1294</v>
      </c>
      <c r="S178" s="7" t="s">
        <v>1295</v>
      </c>
      <c r="T178" s="8" t="s">
        <v>1256</v>
      </c>
      <c r="U178" s="11">
        <f t="shared" si="7"/>
        <v>0</v>
      </c>
      <c r="V178" s="8" t="s">
        <v>1296</v>
      </c>
      <c r="W178" s="8" t="s">
        <v>1296</v>
      </c>
      <c r="X178" s="8" t="s">
        <v>1296</v>
      </c>
      <c r="Y178" s="8" t="s">
        <v>1296</v>
      </c>
      <c r="Z178" s="8" t="s">
        <v>1261</v>
      </c>
      <c r="AA178" s="12" t="str">
        <f t="shared" si="8"/>
        <v>UNK-UNK-UNK-UNK-INSP</v>
      </c>
    </row>
    <row r="179" spans="1:27" ht="20" customHeight="1" x14ac:dyDescent="0.35">
      <c r="A179" s="6" t="s">
        <v>1250</v>
      </c>
      <c r="B179" s="6" t="s">
        <v>878</v>
      </c>
      <c r="C179" s="13">
        <v>45076</v>
      </c>
      <c r="D179" s="6" t="s">
        <v>281</v>
      </c>
      <c r="E179" s="6" t="s">
        <v>21</v>
      </c>
      <c r="F179" s="6" t="s">
        <v>33</v>
      </c>
      <c r="G179" s="7" t="s">
        <v>82</v>
      </c>
      <c r="H179" s="7" t="s">
        <v>1311</v>
      </c>
      <c r="I179" s="8" t="s">
        <v>1292</v>
      </c>
      <c r="J179" s="8" t="s">
        <v>1293</v>
      </c>
      <c r="K179" s="9">
        <v>45076.458333333343</v>
      </c>
      <c r="L179" s="9">
        <v>45076.46875</v>
      </c>
      <c r="M179" s="9">
        <v>45076.489583333343</v>
      </c>
      <c r="N179" s="9">
        <v>45076.60833333333</v>
      </c>
      <c r="O179" s="10">
        <f t="shared" si="6"/>
        <v>2.8499999996856786</v>
      </c>
      <c r="P179" s="8">
        <v>0</v>
      </c>
      <c r="Q179" s="8" t="s">
        <v>1253</v>
      </c>
      <c r="R179" s="6" t="s">
        <v>1294</v>
      </c>
      <c r="S179" s="7" t="s">
        <v>1295</v>
      </c>
      <c r="T179" s="8" t="s">
        <v>1256</v>
      </c>
      <c r="U179" s="11">
        <f t="shared" si="7"/>
        <v>0</v>
      </c>
      <c r="V179" s="8" t="s">
        <v>1288</v>
      </c>
      <c r="W179" s="8" t="s">
        <v>1276</v>
      </c>
      <c r="X179" s="8" t="s">
        <v>1289</v>
      </c>
      <c r="Y179" s="8" t="s">
        <v>1290</v>
      </c>
      <c r="Z179" s="8" t="s">
        <v>1312</v>
      </c>
      <c r="AA179" s="12" t="str">
        <f t="shared" si="8"/>
        <v>ACT-CTRL-STK-CTL-REP</v>
      </c>
    </row>
    <row r="180" spans="1:27" ht="20" customHeight="1" x14ac:dyDescent="0.35">
      <c r="A180" s="6" t="s">
        <v>1250</v>
      </c>
      <c r="B180" s="6" t="s">
        <v>882</v>
      </c>
      <c r="C180" s="13">
        <v>45476</v>
      </c>
      <c r="D180" s="6" t="s">
        <v>884</v>
      </c>
      <c r="E180" s="6" t="s">
        <v>60</v>
      </c>
      <c r="F180" s="6" t="s">
        <v>33</v>
      </c>
      <c r="G180" s="7" t="s">
        <v>70</v>
      </c>
      <c r="H180" s="7" t="s">
        <v>1308</v>
      </c>
      <c r="I180" s="8" t="s">
        <v>1252</v>
      </c>
      <c r="J180" s="8" t="s">
        <v>1252</v>
      </c>
      <c r="K180" s="9">
        <v>45476.586805555547</v>
      </c>
      <c r="L180" s="9">
        <v>45476.597222222219</v>
      </c>
      <c r="M180" s="9">
        <v>45476.618055555547</v>
      </c>
      <c r="N180" s="9">
        <v>45477.050694444442</v>
      </c>
      <c r="O180" s="10">
        <f t="shared" si="6"/>
        <v>10.383333333476912</v>
      </c>
      <c r="P180" s="8">
        <v>0</v>
      </c>
      <c r="Q180" s="8" t="s">
        <v>1253</v>
      </c>
      <c r="R180" s="6" t="s">
        <v>1299</v>
      </c>
      <c r="S180" s="7" t="s">
        <v>1300</v>
      </c>
      <c r="T180" s="8" t="s">
        <v>1256</v>
      </c>
      <c r="U180" s="11">
        <f t="shared" si="7"/>
        <v>1</v>
      </c>
      <c r="V180" s="8" t="s">
        <v>1301</v>
      </c>
      <c r="W180" s="8" t="s">
        <v>1258</v>
      </c>
      <c r="X180" s="8" t="s">
        <v>1302</v>
      </c>
      <c r="Y180" s="8" t="s">
        <v>1260</v>
      </c>
      <c r="Z180" s="8" t="s">
        <v>1270</v>
      </c>
      <c r="AA180" s="12" t="str">
        <f t="shared" si="8"/>
        <v>BRG-DE-VIB-MEC-RPL</v>
      </c>
    </row>
    <row r="181" spans="1:27" ht="20" customHeight="1" x14ac:dyDescent="0.35">
      <c r="A181" s="6" t="s">
        <v>1250</v>
      </c>
      <c r="B181" s="6" t="s">
        <v>887</v>
      </c>
      <c r="C181" s="13">
        <v>45059</v>
      </c>
      <c r="D181" s="6" t="s">
        <v>633</v>
      </c>
      <c r="E181" s="6" t="s">
        <v>60</v>
      </c>
      <c r="F181" s="6" t="s">
        <v>33</v>
      </c>
      <c r="G181" s="7" t="s">
        <v>82</v>
      </c>
      <c r="H181" s="7" t="s">
        <v>1311</v>
      </c>
      <c r="I181" s="8" t="s">
        <v>1292</v>
      </c>
      <c r="J181" s="8" t="s">
        <v>1293</v>
      </c>
      <c r="K181" s="9">
        <v>45059.166666666657</v>
      </c>
      <c r="L181" s="9">
        <v>45059.177083333343</v>
      </c>
      <c r="M181" s="9">
        <v>45059.197916666657</v>
      </c>
      <c r="N181" s="9">
        <v>45059.415972222218</v>
      </c>
      <c r="O181" s="10">
        <f t="shared" si="6"/>
        <v>5.2333333334536292</v>
      </c>
      <c r="P181" s="8">
        <v>0</v>
      </c>
      <c r="Q181" s="8" t="s">
        <v>1263</v>
      </c>
      <c r="R181" s="6" t="s">
        <v>1294</v>
      </c>
      <c r="S181" s="7" t="s">
        <v>1295</v>
      </c>
      <c r="T181" s="8" t="s">
        <v>1256</v>
      </c>
      <c r="U181" s="11">
        <f t="shared" si="7"/>
        <v>0</v>
      </c>
      <c r="V181" s="8" t="s">
        <v>1296</v>
      </c>
      <c r="W181" s="8" t="s">
        <v>1296</v>
      </c>
      <c r="X181" s="8" t="s">
        <v>1296</v>
      </c>
      <c r="Y181" s="8" t="s">
        <v>1296</v>
      </c>
      <c r="Z181" s="8" t="s">
        <v>1312</v>
      </c>
      <c r="AA181" s="12" t="str">
        <f t="shared" si="8"/>
        <v>UNK-UNK-UNK-UNK-REP</v>
      </c>
    </row>
    <row r="182" spans="1:27" ht="20" customHeight="1" x14ac:dyDescent="0.35">
      <c r="A182" s="6" t="s">
        <v>1250</v>
      </c>
      <c r="B182" s="6" t="s">
        <v>890</v>
      </c>
      <c r="C182" s="13">
        <v>45604</v>
      </c>
      <c r="D182" s="6" t="s">
        <v>892</v>
      </c>
      <c r="E182" s="6" t="s">
        <v>207</v>
      </c>
      <c r="F182" s="6" t="s">
        <v>1405</v>
      </c>
      <c r="G182" s="7" t="s">
        <v>121</v>
      </c>
      <c r="H182" s="7" t="s">
        <v>1325</v>
      </c>
      <c r="I182" s="8" t="s">
        <v>1292</v>
      </c>
      <c r="J182" s="8" t="s">
        <v>1293</v>
      </c>
      <c r="K182" s="9">
        <v>45604.291666666657</v>
      </c>
      <c r="L182" s="9">
        <v>45604.302083333343</v>
      </c>
      <c r="M182" s="9">
        <v>45604.322916666657</v>
      </c>
      <c r="N182" s="9">
        <v>45604.349305555559</v>
      </c>
      <c r="O182" s="10">
        <f t="shared" si="6"/>
        <v>0.63333333365153521</v>
      </c>
      <c r="P182" s="8">
        <v>0</v>
      </c>
      <c r="Q182" s="8" t="s">
        <v>1253</v>
      </c>
      <c r="R182" s="6" t="s">
        <v>1294</v>
      </c>
      <c r="S182" s="7" t="s">
        <v>1295</v>
      </c>
      <c r="T182" s="8" t="s">
        <v>1256</v>
      </c>
      <c r="U182" s="11">
        <f t="shared" si="7"/>
        <v>0</v>
      </c>
      <c r="V182" s="8" t="s">
        <v>1275</v>
      </c>
      <c r="W182" s="8" t="s">
        <v>1276</v>
      </c>
      <c r="X182" s="8" t="s">
        <v>1277</v>
      </c>
      <c r="Y182" s="8" t="s">
        <v>1275</v>
      </c>
      <c r="Z182" s="8" t="s">
        <v>1261</v>
      </c>
      <c r="AA182" s="12" t="str">
        <f t="shared" si="8"/>
        <v>INS-CTRL-DRF-INS-INSP</v>
      </c>
    </row>
    <row r="183" spans="1:27" ht="20" customHeight="1" x14ac:dyDescent="0.35">
      <c r="A183" s="6" t="s">
        <v>1250</v>
      </c>
      <c r="B183" s="6" t="s">
        <v>895</v>
      </c>
      <c r="C183" s="13">
        <v>45107</v>
      </c>
      <c r="D183" s="6" t="s">
        <v>281</v>
      </c>
      <c r="E183" s="6" t="s">
        <v>21</v>
      </c>
      <c r="F183" s="6" t="s">
        <v>1407</v>
      </c>
      <c r="G183" s="7" t="s">
        <v>121</v>
      </c>
      <c r="H183" s="7" t="s">
        <v>1325</v>
      </c>
      <c r="I183" s="8" t="s">
        <v>1292</v>
      </c>
      <c r="J183" s="8" t="s">
        <v>1293</v>
      </c>
      <c r="K183" s="9">
        <v>45107.583333333343</v>
      </c>
      <c r="L183" s="9">
        <v>45107.59375</v>
      </c>
      <c r="M183" s="9">
        <v>45107.614583333343</v>
      </c>
      <c r="N183" s="9">
        <v>45107.606249999997</v>
      </c>
      <c r="O183" s="10">
        <f t="shared" si="6"/>
        <v>-0.20000000030267984</v>
      </c>
      <c r="P183" s="8">
        <v>0</v>
      </c>
      <c r="Q183" s="8" t="s">
        <v>1253</v>
      </c>
      <c r="R183" s="6" t="s">
        <v>1294</v>
      </c>
      <c r="S183" s="7" t="s">
        <v>1295</v>
      </c>
      <c r="T183" s="8" t="s">
        <v>1256</v>
      </c>
      <c r="U183" s="11">
        <f t="shared" si="7"/>
        <v>0</v>
      </c>
      <c r="V183" s="8" t="s">
        <v>1288</v>
      </c>
      <c r="W183" s="8" t="s">
        <v>1276</v>
      </c>
      <c r="X183" s="8" t="s">
        <v>1289</v>
      </c>
      <c r="Y183" s="8" t="s">
        <v>1290</v>
      </c>
      <c r="Z183" s="8" t="s">
        <v>1261</v>
      </c>
      <c r="AA183" s="12" t="str">
        <f t="shared" si="8"/>
        <v>ACT-CTRL-STK-CTL-INSP</v>
      </c>
    </row>
    <row r="184" spans="1:27" ht="20" customHeight="1" x14ac:dyDescent="0.35">
      <c r="A184" s="6" t="s">
        <v>1250</v>
      </c>
      <c r="B184" s="6" t="s">
        <v>897</v>
      </c>
      <c r="C184" s="13">
        <v>45552</v>
      </c>
      <c r="D184" s="6" t="s">
        <v>899</v>
      </c>
      <c r="E184" s="6" t="s">
        <v>41</v>
      </c>
      <c r="F184" s="6" t="s">
        <v>33</v>
      </c>
      <c r="G184" s="7" t="s">
        <v>121</v>
      </c>
      <c r="H184" s="7" t="s">
        <v>1325</v>
      </c>
      <c r="I184" s="8" t="s">
        <v>1292</v>
      </c>
      <c r="J184" s="8" t="s">
        <v>1293</v>
      </c>
      <c r="K184" s="9">
        <v>45552.541666666657</v>
      </c>
      <c r="L184" s="9">
        <v>45552.552083333343</v>
      </c>
      <c r="M184" s="9">
        <v>45552.572916666657</v>
      </c>
      <c r="N184" s="9">
        <v>45552.64166666667</v>
      </c>
      <c r="O184" s="10">
        <f t="shared" si="6"/>
        <v>1.6500000003143214</v>
      </c>
      <c r="P184" s="8">
        <v>0</v>
      </c>
      <c r="Q184" s="8" t="s">
        <v>1263</v>
      </c>
      <c r="R184" s="6" t="s">
        <v>1294</v>
      </c>
      <c r="S184" s="7" t="s">
        <v>1295</v>
      </c>
      <c r="T184" s="8" t="s">
        <v>1256</v>
      </c>
      <c r="U184" s="11">
        <f t="shared" si="7"/>
        <v>0</v>
      </c>
      <c r="V184" s="8" t="s">
        <v>1296</v>
      </c>
      <c r="W184" s="8" t="s">
        <v>1296</v>
      </c>
      <c r="X184" s="8" t="s">
        <v>1296</v>
      </c>
      <c r="Y184" s="8" t="s">
        <v>1296</v>
      </c>
      <c r="Z184" s="8" t="s">
        <v>1261</v>
      </c>
      <c r="AA184" s="12" t="str">
        <f t="shared" si="8"/>
        <v>UNK-UNK-UNK-UNK-INSP</v>
      </c>
    </row>
    <row r="185" spans="1:27" ht="20" customHeight="1" x14ac:dyDescent="0.35">
      <c r="A185" s="6" t="s">
        <v>1250</v>
      </c>
      <c r="B185" s="6" t="s">
        <v>902</v>
      </c>
      <c r="C185" s="13">
        <v>45449</v>
      </c>
      <c r="D185" s="6" t="s">
        <v>174</v>
      </c>
      <c r="E185" s="6" t="s">
        <v>47</v>
      </c>
      <c r="F185" s="6" t="s">
        <v>33</v>
      </c>
      <c r="G185" s="7" t="s">
        <v>116</v>
      </c>
      <c r="H185" s="7" t="s">
        <v>1324</v>
      </c>
      <c r="I185" s="8" t="s">
        <v>1292</v>
      </c>
      <c r="J185" s="8" t="s">
        <v>1293</v>
      </c>
      <c r="K185" s="9">
        <v>45449.02847222222</v>
      </c>
      <c r="L185" s="9">
        <v>45449.038888888892</v>
      </c>
      <c r="M185" s="9">
        <v>45449.05972222222</v>
      </c>
      <c r="N185" s="9">
        <v>45449.17291666667</v>
      </c>
      <c r="O185" s="10">
        <f t="shared" si="6"/>
        <v>2.716666666790843</v>
      </c>
      <c r="P185" s="8">
        <v>0</v>
      </c>
      <c r="Q185" s="8" t="s">
        <v>1253</v>
      </c>
      <c r="R185" s="6" t="s">
        <v>1294</v>
      </c>
      <c r="S185" s="7" t="s">
        <v>1295</v>
      </c>
      <c r="T185" s="8" t="s">
        <v>1256</v>
      </c>
      <c r="U185" s="11">
        <f t="shared" si="7"/>
        <v>0</v>
      </c>
      <c r="V185" s="8" t="s">
        <v>1296</v>
      </c>
      <c r="W185" s="8" t="s">
        <v>1296</v>
      </c>
      <c r="X185" s="8" t="s">
        <v>1296</v>
      </c>
      <c r="Y185" s="8" t="s">
        <v>1296</v>
      </c>
      <c r="Z185" s="8" t="s">
        <v>1312</v>
      </c>
      <c r="AA185" s="12" t="str">
        <f t="shared" si="8"/>
        <v>UNK-UNK-UNK-UNK-REP</v>
      </c>
    </row>
    <row r="186" spans="1:27" ht="20" customHeight="1" x14ac:dyDescent="0.35">
      <c r="A186" s="6" t="s">
        <v>1250</v>
      </c>
      <c r="B186" s="6" t="s">
        <v>907</v>
      </c>
      <c r="C186" s="13">
        <v>44958</v>
      </c>
      <c r="D186" s="6" t="s">
        <v>913</v>
      </c>
      <c r="E186" s="6" t="s">
        <v>47</v>
      </c>
      <c r="F186" s="6" t="s">
        <v>144</v>
      </c>
      <c r="G186" s="7" t="s">
        <v>111</v>
      </c>
      <c r="H186" s="7" t="s">
        <v>1319</v>
      </c>
      <c r="I186" s="8" t="s">
        <v>1252</v>
      </c>
      <c r="J186" s="8" t="s">
        <v>1252</v>
      </c>
      <c r="K186" s="9">
        <v>44958.355555555558</v>
      </c>
      <c r="L186" s="9">
        <v>44958.365972222222</v>
      </c>
      <c r="M186" s="9">
        <v>44958.386805555558</v>
      </c>
      <c r="N186" s="9">
        <v>44958.612500000003</v>
      </c>
      <c r="O186" s="10">
        <f t="shared" si="6"/>
        <v>5.4166666666860692</v>
      </c>
      <c r="P186" s="8">
        <v>0</v>
      </c>
      <c r="Q186" s="8" t="s">
        <v>1263</v>
      </c>
      <c r="R186" s="6" t="s">
        <v>1320</v>
      </c>
      <c r="S186" s="7" t="s">
        <v>1321</v>
      </c>
      <c r="T186" s="8" t="s">
        <v>1256</v>
      </c>
      <c r="U186" s="11">
        <f t="shared" si="7"/>
        <v>1</v>
      </c>
      <c r="V186" s="8" t="s">
        <v>1322</v>
      </c>
      <c r="W186" s="8" t="s">
        <v>1258</v>
      </c>
      <c r="X186" s="8" t="s">
        <v>1323</v>
      </c>
      <c r="Y186" s="8" t="s">
        <v>1260</v>
      </c>
      <c r="Z186" s="8" t="s">
        <v>1261</v>
      </c>
      <c r="AA186" s="12" t="str">
        <f t="shared" si="8"/>
        <v>SEA-DE-LEK-MEC-INSP</v>
      </c>
    </row>
    <row r="187" spans="1:27" ht="20" customHeight="1" x14ac:dyDescent="0.35">
      <c r="A187" s="6" t="s">
        <v>1250</v>
      </c>
      <c r="B187" s="6" t="s">
        <v>911</v>
      </c>
      <c r="C187" s="13">
        <v>45479</v>
      </c>
      <c r="D187" s="6" t="s">
        <v>913</v>
      </c>
      <c r="E187" s="6" t="s">
        <v>47</v>
      </c>
      <c r="F187" s="6" t="s">
        <v>1405</v>
      </c>
      <c r="G187" s="7" t="s">
        <v>88</v>
      </c>
      <c r="H187" s="7" t="s">
        <v>1313</v>
      </c>
      <c r="I187" s="8" t="s">
        <v>1272</v>
      </c>
      <c r="J187" s="8" t="s">
        <v>1252</v>
      </c>
      <c r="K187" s="9">
        <v>45479.686805555553</v>
      </c>
      <c r="L187" s="9">
        <v>45479.697222222218</v>
      </c>
      <c r="M187" s="9">
        <v>45479.718055555553</v>
      </c>
      <c r="N187" s="9">
        <v>45480.257638888892</v>
      </c>
      <c r="O187" s="10">
        <f t="shared" si="6"/>
        <v>12.950000000128057</v>
      </c>
      <c r="P187" s="8">
        <v>0</v>
      </c>
      <c r="Q187" s="8" t="s">
        <v>1263</v>
      </c>
      <c r="R187" s="6" t="s">
        <v>1273</v>
      </c>
      <c r="S187" s="7" t="s">
        <v>1274</v>
      </c>
      <c r="T187" s="8" t="s">
        <v>1256</v>
      </c>
      <c r="U187" s="11">
        <f t="shared" si="7"/>
        <v>1</v>
      </c>
      <c r="V187" s="8" t="s">
        <v>1305</v>
      </c>
      <c r="W187" s="8" t="s">
        <v>1276</v>
      </c>
      <c r="X187" s="8" t="s">
        <v>1306</v>
      </c>
      <c r="Y187" s="8" t="s">
        <v>1290</v>
      </c>
      <c r="Z187" s="8" t="s">
        <v>1278</v>
      </c>
      <c r="AA187" s="12" t="str">
        <f t="shared" si="8"/>
        <v>SYS-CTRL-TRP-CTL-RST</v>
      </c>
    </row>
    <row r="188" spans="1:27" ht="20" customHeight="1" x14ac:dyDescent="0.35">
      <c r="A188" s="6" t="s">
        <v>1250</v>
      </c>
      <c r="B188" s="6" t="s">
        <v>916</v>
      </c>
      <c r="C188" s="13">
        <v>45335</v>
      </c>
      <c r="D188" s="6" t="s">
        <v>918</v>
      </c>
      <c r="E188" s="6" t="s">
        <v>47</v>
      </c>
      <c r="F188" s="6" t="s">
        <v>144</v>
      </c>
      <c r="G188" s="7" t="s">
        <v>82</v>
      </c>
      <c r="H188" s="7" t="s">
        <v>1311</v>
      </c>
      <c r="I188" s="8" t="s">
        <v>1292</v>
      </c>
      <c r="J188" s="8" t="s">
        <v>1293</v>
      </c>
      <c r="K188" s="9">
        <v>45335.511805555558</v>
      </c>
      <c r="L188" s="9">
        <v>45335.522222222222</v>
      </c>
      <c r="M188" s="9">
        <v>45335.543055555558</v>
      </c>
      <c r="N188" s="9">
        <v>45335.706944444442</v>
      </c>
      <c r="O188" s="10">
        <f t="shared" si="6"/>
        <v>3.9333333332324401</v>
      </c>
      <c r="P188" s="8">
        <v>0</v>
      </c>
      <c r="Q188" s="8" t="s">
        <v>1263</v>
      </c>
      <c r="R188" s="6" t="s">
        <v>1294</v>
      </c>
      <c r="S188" s="7" t="s">
        <v>1295</v>
      </c>
      <c r="T188" s="8" t="s">
        <v>1256</v>
      </c>
      <c r="U188" s="11">
        <f t="shared" si="7"/>
        <v>0</v>
      </c>
      <c r="V188" s="8" t="s">
        <v>1296</v>
      </c>
      <c r="W188" s="8" t="s">
        <v>1296</v>
      </c>
      <c r="X188" s="8" t="s">
        <v>1296</v>
      </c>
      <c r="Y188" s="8" t="s">
        <v>1296</v>
      </c>
      <c r="Z188" s="8" t="s">
        <v>1312</v>
      </c>
      <c r="AA188" s="12" t="str">
        <f t="shared" si="8"/>
        <v>UNK-UNK-UNK-UNK-REP</v>
      </c>
    </row>
    <row r="189" spans="1:27" ht="20" customHeight="1" x14ac:dyDescent="0.35">
      <c r="A189" s="6" t="s">
        <v>1250</v>
      </c>
      <c r="B189" s="6" t="s">
        <v>921</v>
      </c>
      <c r="C189" s="13">
        <v>45729</v>
      </c>
      <c r="D189" s="6" t="s">
        <v>1309</v>
      </c>
      <c r="E189" s="6" t="s">
        <v>47</v>
      </c>
      <c r="F189" s="6" t="s">
        <v>144</v>
      </c>
      <c r="G189" s="7" t="s">
        <v>924</v>
      </c>
      <c r="H189" s="7" t="s">
        <v>1391</v>
      </c>
      <c r="I189" s="8" t="s">
        <v>1272</v>
      </c>
      <c r="J189" s="8" t="s">
        <v>1252</v>
      </c>
      <c r="K189" s="9">
        <v>45729.492361111108</v>
      </c>
      <c r="L189" s="9">
        <v>45729.50277777778</v>
      </c>
      <c r="M189" s="9">
        <v>45729.523611111108</v>
      </c>
      <c r="N189" s="9">
        <v>45729.798611111109</v>
      </c>
      <c r="O189" s="10">
        <f t="shared" si="6"/>
        <v>6.6000000000349246</v>
      </c>
      <c r="P189" s="8">
        <v>0</v>
      </c>
      <c r="Q189" s="8" t="s">
        <v>1263</v>
      </c>
      <c r="R189" s="6" t="s">
        <v>1273</v>
      </c>
      <c r="S189" s="7" t="s">
        <v>1274</v>
      </c>
      <c r="T189" s="8" t="s">
        <v>1256</v>
      </c>
      <c r="U189" s="11">
        <f t="shared" si="7"/>
        <v>1</v>
      </c>
      <c r="V189" s="8" t="s">
        <v>1305</v>
      </c>
      <c r="W189" s="8" t="s">
        <v>1276</v>
      </c>
      <c r="X189" s="8" t="s">
        <v>1306</v>
      </c>
      <c r="Y189" s="8" t="s">
        <v>1290</v>
      </c>
      <c r="Z189" s="8" t="s">
        <v>1278</v>
      </c>
      <c r="AA189" s="12" t="str">
        <f t="shared" si="8"/>
        <v>SYS-CTRL-TRP-CTL-RST</v>
      </c>
    </row>
    <row r="190" spans="1:27" ht="20" customHeight="1" x14ac:dyDescent="0.35">
      <c r="A190" s="6" t="s">
        <v>1250</v>
      </c>
      <c r="B190" s="6" t="s">
        <v>927</v>
      </c>
      <c r="C190" s="13">
        <v>45498</v>
      </c>
      <c r="D190" s="6" t="s">
        <v>929</v>
      </c>
      <c r="E190" s="6" t="s">
        <v>60</v>
      </c>
      <c r="F190" s="6" t="s">
        <v>20</v>
      </c>
      <c r="G190" s="7" t="s">
        <v>276</v>
      </c>
      <c r="H190" s="7" t="s">
        <v>1338</v>
      </c>
      <c r="I190" s="8" t="s">
        <v>1252</v>
      </c>
      <c r="J190" s="8" t="s">
        <v>1252</v>
      </c>
      <c r="K190" s="9">
        <v>45498.872916666667</v>
      </c>
      <c r="L190" s="9">
        <v>45498.883333333331</v>
      </c>
      <c r="M190" s="9">
        <v>45498.904166666667</v>
      </c>
      <c r="N190" s="9">
        <v>45499.031944444447</v>
      </c>
      <c r="O190" s="10">
        <f t="shared" si="6"/>
        <v>3.0666666667093523</v>
      </c>
      <c r="P190" s="8">
        <v>0</v>
      </c>
      <c r="Q190" s="8" t="s">
        <v>1253</v>
      </c>
      <c r="R190" s="6" t="s">
        <v>1299</v>
      </c>
      <c r="S190" s="7" t="s">
        <v>1300</v>
      </c>
      <c r="T190" s="8" t="s">
        <v>1256</v>
      </c>
      <c r="U190" s="11">
        <f t="shared" si="7"/>
        <v>1</v>
      </c>
      <c r="V190" s="8" t="s">
        <v>1301</v>
      </c>
      <c r="W190" s="8" t="s">
        <v>1258</v>
      </c>
      <c r="X190" s="8" t="s">
        <v>1302</v>
      </c>
      <c r="Y190" s="8" t="s">
        <v>1260</v>
      </c>
      <c r="Z190" s="8" t="s">
        <v>1261</v>
      </c>
      <c r="AA190" s="12" t="str">
        <f t="shared" si="8"/>
        <v>BRG-DE-VIB-MEC-INSP</v>
      </c>
    </row>
    <row r="191" spans="1:27" ht="20" customHeight="1" x14ac:dyDescent="0.35">
      <c r="A191" s="6" t="s">
        <v>1250</v>
      </c>
      <c r="B191" s="6" t="s">
        <v>932</v>
      </c>
      <c r="C191" s="13">
        <v>45353</v>
      </c>
      <c r="D191" s="6" t="s">
        <v>570</v>
      </c>
      <c r="E191" s="6" t="s">
        <v>21</v>
      </c>
      <c r="F191" s="6" t="s">
        <v>144</v>
      </c>
      <c r="G191" s="7" t="s">
        <v>116</v>
      </c>
      <c r="H191" s="7" t="s">
        <v>1324</v>
      </c>
      <c r="I191" s="8" t="s">
        <v>1292</v>
      </c>
      <c r="J191" s="8" t="s">
        <v>1293</v>
      </c>
      <c r="K191" s="9">
        <v>45353.780555555553</v>
      </c>
      <c r="L191" s="9">
        <v>45353.790972222218</v>
      </c>
      <c r="M191" s="9">
        <v>45353.811805555553</v>
      </c>
      <c r="N191" s="9">
        <v>45354.058333333327</v>
      </c>
      <c r="O191" s="10">
        <f t="shared" si="6"/>
        <v>5.9166666665696539</v>
      </c>
      <c r="P191" s="8">
        <v>0</v>
      </c>
      <c r="Q191" s="8" t="s">
        <v>1253</v>
      </c>
      <c r="R191" s="6" t="s">
        <v>1294</v>
      </c>
      <c r="S191" s="7" t="s">
        <v>1295</v>
      </c>
      <c r="T191" s="8" t="s">
        <v>1256</v>
      </c>
      <c r="U191" s="11">
        <f t="shared" si="7"/>
        <v>0</v>
      </c>
      <c r="V191" s="8" t="s">
        <v>1288</v>
      </c>
      <c r="W191" s="8" t="s">
        <v>1276</v>
      </c>
      <c r="X191" s="8" t="s">
        <v>1289</v>
      </c>
      <c r="Y191" s="8" t="s">
        <v>1290</v>
      </c>
      <c r="Z191" s="8" t="s">
        <v>1312</v>
      </c>
      <c r="AA191" s="12" t="str">
        <f t="shared" si="8"/>
        <v>ACT-CTRL-STK-CTL-REP</v>
      </c>
    </row>
    <row r="192" spans="1:27" ht="20" customHeight="1" x14ac:dyDescent="0.35">
      <c r="A192" s="6" t="s">
        <v>1250</v>
      </c>
      <c r="B192" s="6" t="s">
        <v>936</v>
      </c>
      <c r="C192" s="13">
        <v>45116</v>
      </c>
      <c r="D192" s="6" t="s">
        <v>570</v>
      </c>
      <c r="E192" s="6" t="s">
        <v>21</v>
      </c>
      <c r="F192" s="6" t="s">
        <v>33</v>
      </c>
      <c r="G192" s="7" t="s">
        <v>842</v>
      </c>
      <c r="H192" s="7" t="s">
        <v>1388</v>
      </c>
      <c r="I192" s="8" t="s">
        <v>1292</v>
      </c>
      <c r="J192" s="8" t="s">
        <v>1293</v>
      </c>
      <c r="K192" s="9">
        <v>45116.583333333343</v>
      </c>
      <c r="L192" s="9">
        <v>45116.59375</v>
      </c>
      <c r="M192" s="9">
        <v>45116.614583333343</v>
      </c>
      <c r="N192" s="9">
        <v>45116.595833333333</v>
      </c>
      <c r="O192" s="10">
        <f t="shared" si="6"/>
        <v>-0.45000000024447218</v>
      </c>
      <c r="P192" s="8">
        <v>0</v>
      </c>
      <c r="Q192" s="8" t="s">
        <v>1253</v>
      </c>
      <c r="R192" s="6" t="s">
        <v>1294</v>
      </c>
      <c r="S192" s="7" t="s">
        <v>1295</v>
      </c>
      <c r="T192" s="8" t="s">
        <v>1256</v>
      </c>
      <c r="U192" s="11">
        <f t="shared" si="7"/>
        <v>0</v>
      </c>
      <c r="V192" s="8" t="s">
        <v>1288</v>
      </c>
      <c r="W192" s="8" t="s">
        <v>1276</v>
      </c>
      <c r="X192" s="8" t="s">
        <v>1289</v>
      </c>
      <c r="Y192" s="8" t="s">
        <v>1290</v>
      </c>
      <c r="Z192" s="8" t="s">
        <v>1312</v>
      </c>
      <c r="AA192" s="12" t="str">
        <f t="shared" si="8"/>
        <v>ACT-CTRL-STK-CTL-REP</v>
      </c>
    </row>
    <row r="193" spans="1:27" ht="20" customHeight="1" x14ac:dyDescent="0.35">
      <c r="A193" s="6" t="s">
        <v>1250</v>
      </c>
      <c r="B193" s="6" t="s">
        <v>940</v>
      </c>
      <c r="C193" s="13">
        <v>45935</v>
      </c>
      <c r="D193" s="6" t="s">
        <v>918</v>
      </c>
      <c r="E193" s="6" t="s">
        <v>47</v>
      </c>
      <c r="F193" s="6" t="s">
        <v>1408</v>
      </c>
      <c r="G193" s="7" t="s">
        <v>811</v>
      </c>
      <c r="H193" s="7" t="s">
        <v>1386</v>
      </c>
      <c r="I193" s="8" t="s">
        <v>1292</v>
      </c>
      <c r="J193" s="8" t="s">
        <v>1293</v>
      </c>
      <c r="K193" s="9">
        <v>45935.839583333327</v>
      </c>
      <c r="L193" s="9">
        <v>45935.85</v>
      </c>
      <c r="M193" s="9">
        <v>45935.870833333327</v>
      </c>
      <c r="N193" s="9">
        <v>45935.935416666667</v>
      </c>
      <c r="O193" s="10">
        <f t="shared" si="6"/>
        <v>1.5500000001629815</v>
      </c>
      <c r="P193" s="8">
        <v>0</v>
      </c>
      <c r="Q193" s="8" t="s">
        <v>1263</v>
      </c>
      <c r="R193" s="6" t="s">
        <v>1294</v>
      </c>
      <c r="S193" s="7" t="s">
        <v>1295</v>
      </c>
      <c r="T193" s="8" t="s">
        <v>1256</v>
      </c>
      <c r="U193" s="11">
        <f t="shared" si="7"/>
        <v>0</v>
      </c>
      <c r="V193" s="8" t="s">
        <v>1296</v>
      </c>
      <c r="W193" s="8" t="s">
        <v>1296</v>
      </c>
      <c r="X193" s="8" t="s">
        <v>1296</v>
      </c>
      <c r="Y193" s="8" t="s">
        <v>1296</v>
      </c>
      <c r="Z193" s="8" t="s">
        <v>1312</v>
      </c>
      <c r="AA193" s="12" t="str">
        <f t="shared" si="8"/>
        <v>UNK-UNK-UNK-UNK-REP</v>
      </c>
    </row>
    <row r="194" spans="1:27" ht="20" customHeight="1" x14ac:dyDescent="0.35">
      <c r="A194" s="6" t="s">
        <v>1250</v>
      </c>
      <c r="B194" s="6" t="s">
        <v>944</v>
      </c>
      <c r="C194" s="13">
        <v>45592</v>
      </c>
      <c r="D194" s="6" t="s">
        <v>945</v>
      </c>
      <c r="E194" s="6" t="s">
        <v>34</v>
      </c>
      <c r="F194" s="6" t="s">
        <v>1406</v>
      </c>
      <c r="G194" s="7" t="s">
        <v>121</v>
      </c>
      <c r="H194" s="7" t="s">
        <v>1325</v>
      </c>
      <c r="I194" s="8" t="s">
        <v>1292</v>
      </c>
      <c r="J194" s="8" t="s">
        <v>1293</v>
      </c>
      <c r="K194" s="9">
        <v>45592.333333333343</v>
      </c>
      <c r="L194" s="9">
        <v>45592.34375</v>
      </c>
      <c r="M194" s="9">
        <v>45592.364583333343</v>
      </c>
      <c r="N194" s="9">
        <v>45592.463194444441</v>
      </c>
      <c r="O194" s="10">
        <f t="shared" ref="O194:O257" si="9">IF(AND(N194&lt;&gt;"",M194&lt;&gt;""),(N194-M194)*24,"")</f>
        <v>2.3666666663484648</v>
      </c>
      <c r="P194" s="8">
        <v>0</v>
      </c>
      <c r="Q194" s="8" t="s">
        <v>1263</v>
      </c>
      <c r="R194" s="6" t="s">
        <v>1294</v>
      </c>
      <c r="S194" s="7" t="s">
        <v>1295</v>
      </c>
      <c r="T194" s="8" t="s">
        <v>1256</v>
      </c>
      <c r="U194" s="11">
        <f t="shared" ref="U194:U261" si="10">IF(OR(I194="FAILURE",I194="TRIP"),1,0)</f>
        <v>0</v>
      </c>
      <c r="V194" s="8" t="s">
        <v>1296</v>
      </c>
      <c r="W194" s="8" t="s">
        <v>1296</v>
      </c>
      <c r="X194" s="8" t="s">
        <v>1296</v>
      </c>
      <c r="Y194" s="8" t="s">
        <v>1296</v>
      </c>
      <c r="Z194" s="8" t="s">
        <v>1261</v>
      </c>
      <c r="AA194" s="12" t="str">
        <f t="shared" ref="AA194:AA257" si="11">IF(V194="","",V194&amp;"-"&amp;W194&amp;"-"&amp;X194&amp;"-"&amp;Y194&amp;"-"&amp;Z194)</f>
        <v>UNK-UNK-UNK-UNK-INSP</v>
      </c>
    </row>
    <row r="195" spans="1:27" ht="20" customHeight="1" x14ac:dyDescent="0.35">
      <c r="A195" s="6" t="s">
        <v>1250</v>
      </c>
      <c r="B195" s="6" t="s">
        <v>948</v>
      </c>
      <c r="C195" s="13">
        <v>45527</v>
      </c>
      <c r="D195" s="6" t="s">
        <v>1335</v>
      </c>
      <c r="E195" s="6" t="s">
        <v>41</v>
      </c>
      <c r="F195" s="6" t="s">
        <v>1408</v>
      </c>
      <c r="G195" s="7" t="s">
        <v>776</v>
      </c>
      <c r="H195" s="7" t="s">
        <v>1283</v>
      </c>
      <c r="I195" s="8" t="s">
        <v>1284</v>
      </c>
      <c r="J195" s="8" t="s">
        <v>1285</v>
      </c>
      <c r="K195" s="9">
        <v>45527.416666666657</v>
      </c>
      <c r="L195" s="9">
        <v>45527.416666666657</v>
      </c>
      <c r="M195" s="9">
        <v>45527.416666666657</v>
      </c>
      <c r="N195" s="9">
        <v>45527.479166666657</v>
      </c>
      <c r="O195" s="10">
        <f t="shared" si="9"/>
        <v>1.5</v>
      </c>
      <c r="P195" s="8">
        <v>1</v>
      </c>
      <c r="Q195" s="8" t="s">
        <v>1263</v>
      </c>
      <c r="R195" s="6" t="s">
        <v>1286</v>
      </c>
      <c r="S195" s="7" t="s">
        <v>1287</v>
      </c>
      <c r="T195" s="8" t="s">
        <v>1266</v>
      </c>
      <c r="U195" s="11">
        <f t="shared" si="10"/>
        <v>0</v>
      </c>
      <c r="V195" s="8" t="s">
        <v>1296</v>
      </c>
      <c r="W195" s="8" t="s">
        <v>1296</v>
      </c>
      <c r="X195" s="8" t="s">
        <v>1296</v>
      </c>
      <c r="Y195" s="8" t="s">
        <v>1296</v>
      </c>
      <c r="Z195" s="8" t="s">
        <v>1284</v>
      </c>
      <c r="AA195" s="12" t="str">
        <f t="shared" si="11"/>
        <v>UNK-UNK-UNK-UNK-PM</v>
      </c>
    </row>
    <row r="196" spans="1:27" ht="20" customHeight="1" x14ac:dyDescent="0.35">
      <c r="A196" s="6" t="s">
        <v>1250</v>
      </c>
      <c r="B196" s="6" t="s">
        <v>952</v>
      </c>
      <c r="C196" s="13">
        <v>45587</v>
      </c>
      <c r="D196" s="6" t="s">
        <v>1362</v>
      </c>
      <c r="E196" s="6" t="s">
        <v>47</v>
      </c>
      <c r="F196" s="6" t="s">
        <v>144</v>
      </c>
      <c r="G196" s="7" t="s">
        <v>226</v>
      </c>
      <c r="H196" s="7" t="s">
        <v>1333</v>
      </c>
      <c r="I196" s="8" t="s">
        <v>1272</v>
      </c>
      <c r="J196" s="8" t="s">
        <v>1252</v>
      </c>
      <c r="K196" s="9">
        <v>45587.584027777782</v>
      </c>
      <c r="L196" s="9">
        <v>45587.594444444447</v>
      </c>
      <c r="M196" s="9">
        <v>45587.615277777782</v>
      </c>
      <c r="N196" s="9">
        <v>45587.788194444453</v>
      </c>
      <c r="O196" s="10">
        <f t="shared" si="9"/>
        <v>4.1500000000814907</v>
      </c>
      <c r="P196" s="8">
        <v>0</v>
      </c>
      <c r="Q196" s="8" t="s">
        <v>1263</v>
      </c>
      <c r="R196" s="6" t="s">
        <v>1315</v>
      </c>
      <c r="S196" s="7" t="s">
        <v>1316</v>
      </c>
      <c r="T196" s="8" t="s">
        <v>1256</v>
      </c>
      <c r="U196" s="11">
        <f t="shared" si="10"/>
        <v>1</v>
      </c>
      <c r="V196" s="8" t="s">
        <v>1282</v>
      </c>
      <c r="W196" s="8" t="s">
        <v>1268</v>
      </c>
      <c r="X196" s="8" t="s">
        <v>1317</v>
      </c>
      <c r="Y196" s="8" t="s">
        <v>1318</v>
      </c>
      <c r="Z196" s="8" t="s">
        <v>1278</v>
      </c>
      <c r="AA196" s="12" t="str">
        <f t="shared" si="11"/>
        <v>IMP-SUC-CAV-HYD-RST</v>
      </c>
    </row>
    <row r="197" spans="1:27" ht="20" customHeight="1" x14ac:dyDescent="0.35">
      <c r="A197" s="6" t="s">
        <v>1250</v>
      </c>
      <c r="B197" s="6" t="s">
        <v>957</v>
      </c>
      <c r="C197" s="13">
        <v>45370</v>
      </c>
      <c r="D197" s="6" t="s">
        <v>697</v>
      </c>
      <c r="E197" s="6" t="s">
        <v>41</v>
      </c>
      <c r="F197" s="6" t="s">
        <v>1407</v>
      </c>
      <c r="G197" s="7" t="s">
        <v>116</v>
      </c>
      <c r="H197" s="7" t="s">
        <v>1324</v>
      </c>
      <c r="I197" s="8" t="s">
        <v>1292</v>
      </c>
      <c r="J197" s="8" t="s">
        <v>1293</v>
      </c>
      <c r="K197" s="9">
        <v>45370.446527777778</v>
      </c>
      <c r="L197" s="9">
        <v>45370.456944444442</v>
      </c>
      <c r="M197" s="9">
        <v>45370.477777777778</v>
      </c>
      <c r="N197" s="9">
        <v>45370.570833333331</v>
      </c>
      <c r="O197" s="10">
        <f t="shared" si="9"/>
        <v>2.2333333332790062</v>
      </c>
      <c r="P197" s="8">
        <v>0</v>
      </c>
      <c r="Q197" s="8" t="s">
        <v>1263</v>
      </c>
      <c r="R197" s="6" t="s">
        <v>1294</v>
      </c>
      <c r="S197" s="7" t="s">
        <v>1295</v>
      </c>
      <c r="T197" s="8" t="s">
        <v>1256</v>
      </c>
      <c r="U197" s="11">
        <f t="shared" si="10"/>
        <v>0</v>
      </c>
      <c r="V197" s="8" t="s">
        <v>1296</v>
      </c>
      <c r="W197" s="8" t="s">
        <v>1296</v>
      </c>
      <c r="X197" s="8" t="s">
        <v>1296</v>
      </c>
      <c r="Y197" s="8" t="s">
        <v>1296</v>
      </c>
      <c r="Z197" s="8" t="s">
        <v>1312</v>
      </c>
      <c r="AA197" s="12" t="str">
        <f t="shared" si="11"/>
        <v>UNK-UNK-UNK-UNK-REP</v>
      </c>
    </row>
    <row r="198" spans="1:27" ht="20" customHeight="1" x14ac:dyDescent="0.35">
      <c r="A198" s="6" t="s">
        <v>1250</v>
      </c>
      <c r="B198" s="6" t="s">
        <v>961</v>
      </c>
      <c r="C198" s="13">
        <v>45278</v>
      </c>
      <c r="D198" s="6" t="s">
        <v>281</v>
      </c>
      <c r="E198" s="6" t="s">
        <v>21</v>
      </c>
      <c r="F198" s="6" t="s">
        <v>33</v>
      </c>
      <c r="G198" s="7" t="s">
        <v>963</v>
      </c>
      <c r="H198" s="7" t="s">
        <v>1283</v>
      </c>
      <c r="I198" s="8" t="s">
        <v>1284</v>
      </c>
      <c r="J198" s="8" t="s">
        <v>1285</v>
      </c>
      <c r="K198" s="9">
        <v>45278.602083333331</v>
      </c>
      <c r="L198" s="9">
        <v>45278.602083333331</v>
      </c>
      <c r="M198" s="9">
        <v>45278.602083333331</v>
      </c>
      <c r="N198" s="9">
        <v>45278.664583333331</v>
      </c>
      <c r="O198" s="10">
        <f t="shared" si="9"/>
        <v>1.5</v>
      </c>
      <c r="P198" s="8">
        <v>1</v>
      </c>
      <c r="Q198" s="8" t="s">
        <v>1263</v>
      </c>
      <c r="R198" s="6" t="s">
        <v>1286</v>
      </c>
      <c r="S198" s="7" t="s">
        <v>1287</v>
      </c>
      <c r="T198" s="8" t="s">
        <v>1266</v>
      </c>
      <c r="U198" s="11">
        <f t="shared" si="10"/>
        <v>0</v>
      </c>
      <c r="V198" s="8" t="s">
        <v>1288</v>
      </c>
      <c r="W198" s="8" t="s">
        <v>1276</v>
      </c>
      <c r="X198" s="8" t="s">
        <v>1289</v>
      </c>
      <c r="Y198" s="8" t="s">
        <v>1290</v>
      </c>
      <c r="Z198" s="8" t="s">
        <v>1297</v>
      </c>
      <c r="AA198" s="12" t="str">
        <f t="shared" si="11"/>
        <v>ACT-CTRL-STK-CTL-ADJ</v>
      </c>
    </row>
    <row r="199" spans="1:27" ht="20" customHeight="1" x14ac:dyDescent="0.35">
      <c r="A199" s="6" t="s">
        <v>1250</v>
      </c>
      <c r="B199" s="6" t="s">
        <v>965</v>
      </c>
      <c r="C199" s="13">
        <v>45404</v>
      </c>
      <c r="D199" s="6" t="s">
        <v>497</v>
      </c>
      <c r="E199" s="6" t="s">
        <v>60</v>
      </c>
      <c r="F199" s="6" t="s">
        <v>144</v>
      </c>
      <c r="G199" s="7" t="s">
        <v>442</v>
      </c>
      <c r="H199" s="7" t="s">
        <v>1283</v>
      </c>
      <c r="I199" s="8" t="s">
        <v>1284</v>
      </c>
      <c r="J199" s="8" t="s">
        <v>1285</v>
      </c>
      <c r="K199" s="9">
        <v>45404.333333333343</v>
      </c>
      <c r="L199" s="9">
        <v>45404.333333333343</v>
      </c>
      <c r="M199" s="9">
        <v>45404.333333333343</v>
      </c>
      <c r="N199" s="9">
        <v>45404.397916666669</v>
      </c>
      <c r="O199" s="10">
        <f t="shared" si="9"/>
        <v>1.5499999998137355</v>
      </c>
      <c r="P199" s="8">
        <v>1</v>
      </c>
      <c r="Q199" s="8" t="s">
        <v>1263</v>
      </c>
      <c r="R199" s="6" t="s">
        <v>1286</v>
      </c>
      <c r="S199" s="7" t="s">
        <v>1287</v>
      </c>
      <c r="T199" s="8" t="s">
        <v>1256</v>
      </c>
      <c r="U199" s="11">
        <f t="shared" si="10"/>
        <v>0</v>
      </c>
      <c r="V199" s="8" t="s">
        <v>1296</v>
      </c>
      <c r="W199" s="8" t="s">
        <v>1296</v>
      </c>
      <c r="X199" s="8" t="s">
        <v>1296</v>
      </c>
      <c r="Y199" s="8" t="s">
        <v>1296</v>
      </c>
      <c r="Z199" s="8" t="s">
        <v>1284</v>
      </c>
      <c r="AA199" s="12" t="str">
        <f t="shared" si="11"/>
        <v>UNK-UNK-UNK-UNK-PM</v>
      </c>
    </row>
    <row r="200" spans="1:27" ht="20" customHeight="1" x14ac:dyDescent="0.35">
      <c r="A200" s="6" t="s">
        <v>1250</v>
      </c>
      <c r="B200" s="6" t="s">
        <v>970</v>
      </c>
      <c r="C200" s="13">
        <v>45342</v>
      </c>
      <c r="D200" s="6" t="s">
        <v>383</v>
      </c>
      <c r="E200" s="6" t="s">
        <v>47</v>
      </c>
      <c r="F200" s="6" t="s">
        <v>1406</v>
      </c>
      <c r="G200" s="7" t="s">
        <v>972</v>
      </c>
      <c r="H200" s="7" t="s">
        <v>1283</v>
      </c>
      <c r="I200" s="8" t="s">
        <v>1284</v>
      </c>
      <c r="J200" s="8" t="s">
        <v>1285</v>
      </c>
      <c r="K200" s="9">
        <v>45342.586111111108</v>
      </c>
      <c r="L200" s="9">
        <v>45342.586111111108</v>
      </c>
      <c r="M200" s="9">
        <v>45342.586111111108</v>
      </c>
      <c r="N200" s="9">
        <v>45342.648611111108</v>
      </c>
      <c r="O200" s="10">
        <f t="shared" si="9"/>
        <v>1.5</v>
      </c>
      <c r="P200" s="8">
        <v>1</v>
      </c>
      <c r="Q200" s="8" t="s">
        <v>1263</v>
      </c>
      <c r="R200" s="6" t="s">
        <v>1286</v>
      </c>
      <c r="S200" s="7" t="s">
        <v>1287</v>
      </c>
      <c r="T200" s="8" t="s">
        <v>1266</v>
      </c>
      <c r="U200" s="11">
        <f t="shared" si="10"/>
        <v>0</v>
      </c>
      <c r="V200" s="8" t="s">
        <v>1267</v>
      </c>
      <c r="W200" s="8" t="s">
        <v>1268</v>
      </c>
      <c r="X200" s="8" t="s">
        <v>1269</v>
      </c>
      <c r="Y200" s="8" t="s">
        <v>1260</v>
      </c>
      <c r="Z200" s="8" t="s">
        <v>1284</v>
      </c>
      <c r="AA200" s="12" t="str">
        <f t="shared" si="11"/>
        <v>FIL-SUC-BLK-MEC-PM</v>
      </c>
    </row>
    <row r="201" spans="1:27" ht="20" customHeight="1" x14ac:dyDescent="0.35">
      <c r="A201" s="6" t="s">
        <v>1250</v>
      </c>
      <c r="B201" s="6" t="s">
        <v>974</v>
      </c>
      <c r="C201" s="13">
        <v>45105</v>
      </c>
      <c r="D201" s="6" t="s">
        <v>323</v>
      </c>
      <c r="E201" s="6" t="s">
        <v>14</v>
      </c>
      <c r="F201" s="6" t="s">
        <v>1407</v>
      </c>
      <c r="G201" s="7" t="s">
        <v>82</v>
      </c>
      <c r="H201" s="7" t="s">
        <v>1311</v>
      </c>
      <c r="I201" s="8" t="s">
        <v>1292</v>
      </c>
      <c r="J201" s="8" t="s">
        <v>1293</v>
      </c>
      <c r="K201" s="9">
        <v>45105.694444444453</v>
      </c>
      <c r="L201" s="9">
        <v>45105.704861111109</v>
      </c>
      <c r="M201" s="9">
        <v>45105.725694444453</v>
      </c>
      <c r="N201" s="9">
        <v>45105.818749999999</v>
      </c>
      <c r="O201" s="10">
        <f t="shared" si="9"/>
        <v>2.2333333331043832</v>
      </c>
      <c r="P201" s="8">
        <v>0</v>
      </c>
      <c r="Q201" s="8" t="s">
        <v>1263</v>
      </c>
      <c r="R201" s="6" t="s">
        <v>1294</v>
      </c>
      <c r="S201" s="7" t="s">
        <v>1295</v>
      </c>
      <c r="T201" s="8" t="s">
        <v>1256</v>
      </c>
      <c r="U201" s="11">
        <f t="shared" si="10"/>
        <v>0</v>
      </c>
      <c r="V201" s="8" t="s">
        <v>1275</v>
      </c>
      <c r="W201" s="8" t="s">
        <v>1276</v>
      </c>
      <c r="X201" s="8" t="s">
        <v>1277</v>
      </c>
      <c r="Y201" s="8" t="s">
        <v>1275</v>
      </c>
      <c r="Z201" s="8" t="s">
        <v>1312</v>
      </c>
      <c r="AA201" s="12" t="str">
        <f t="shared" si="11"/>
        <v>INS-CTRL-DRF-INS-REP</v>
      </c>
    </row>
    <row r="202" spans="1:27" ht="20" customHeight="1" x14ac:dyDescent="0.35">
      <c r="A202" s="6" t="s">
        <v>1250</v>
      </c>
      <c r="B202" s="6" t="s">
        <v>978</v>
      </c>
      <c r="C202" s="13">
        <v>45570</v>
      </c>
      <c r="D202" s="6" t="s">
        <v>87</v>
      </c>
      <c r="E202" s="6" t="s">
        <v>60</v>
      </c>
      <c r="F202" s="6" t="s">
        <v>20</v>
      </c>
      <c r="G202" s="7" t="s">
        <v>412</v>
      </c>
      <c r="H202" s="7" t="s">
        <v>1356</v>
      </c>
      <c r="I202" s="8" t="s">
        <v>1252</v>
      </c>
      <c r="J202" s="8" t="s">
        <v>1252</v>
      </c>
      <c r="K202" s="9">
        <v>45570.603472222218</v>
      </c>
      <c r="L202" s="9">
        <v>45570.613888888889</v>
      </c>
      <c r="M202" s="9">
        <v>45570.634722222218</v>
      </c>
      <c r="N202" s="9">
        <v>45570.895138888889</v>
      </c>
      <c r="O202" s="10">
        <f t="shared" si="9"/>
        <v>6.2500000001164153</v>
      </c>
      <c r="P202" s="8">
        <v>0</v>
      </c>
      <c r="Q202" s="8" t="s">
        <v>1253</v>
      </c>
      <c r="R202" s="6" t="s">
        <v>1320</v>
      </c>
      <c r="S202" s="7" t="s">
        <v>1321</v>
      </c>
      <c r="T202" s="8" t="s">
        <v>1256</v>
      </c>
      <c r="U202" s="11">
        <f t="shared" si="10"/>
        <v>1</v>
      </c>
      <c r="V202" s="8" t="s">
        <v>1322</v>
      </c>
      <c r="W202" s="8" t="s">
        <v>1258</v>
      </c>
      <c r="X202" s="8" t="s">
        <v>1323</v>
      </c>
      <c r="Y202" s="8" t="s">
        <v>1260</v>
      </c>
      <c r="Z202" s="8" t="s">
        <v>1312</v>
      </c>
      <c r="AA202" s="12" t="str">
        <f t="shared" si="11"/>
        <v>SEA-DE-LEK-MEC-REP</v>
      </c>
    </row>
    <row r="203" spans="1:27" ht="20" customHeight="1" x14ac:dyDescent="0.35">
      <c r="A203" s="6" t="s">
        <v>1250</v>
      </c>
      <c r="B203" s="6" t="s">
        <v>982</v>
      </c>
      <c r="C203" s="13">
        <v>45079</v>
      </c>
      <c r="D203" s="6" t="s">
        <v>913</v>
      </c>
      <c r="E203" s="6" t="s">
        <v>47</v>
      </c>
      <c r="F203" s="6" t="s">
        <v>144</v>
      </c>
      <c r="G203" s="7" t="s">
        <v>983</v>
      </c>
      <c r="H203" s="7" t="s">
        <v>1392</v>
      </c>
      <c r="I203" s="8" t="s">
        <v>1252</v>
      </c>
      <c r="J203" s="8" t="s">
        <v>1252</v>
      </c>
      <c r="K203" s="9">
        <v>45079.581944444442</v>
      </c>
      <c r="L203" s="9">
        <v>45079.592361111107</v>
      </c>
      <c r="M203" s="9">
        <v>45079.613194444442</v>
      </c>
      <c r="N203" s="9">
        <v>45079.748611111107</v>
      </c>
      <c r="O203" s="10">
        <f t="shared" si="9"/>
        <v>3.2499999999417923</v>
      </c>
      <c r="P203" s="8">
        <v>0</v>
      </c>
      <c r="Q203" s="8" t="s">
        <v>1263</v>
      </c>
      <c r="R203" s="6" t="s">
        <v>1299</v>
      </c>
      <c r="S203" s="7" t="s">
        <v>1300</v>
      </c>
      <c r="T203" s="8" t="s">
        <v>1266</v>
      </c>
      <c r="U203" s="11">
        <f t="shared" si="10"/>
        <v>1</v>
      </c>
      <c r="V203" s="8" t="s">
        <v>1301</v>
      </c>
      <c r="W203" s="8" t="s">
        <v>1258</v>
      </c>
      <c r="X203" s="8" t="s">
        <v>1302</v>
      </c>
      <c r="Y203" s="8" t="s">
        <v>1260</v>
      </c>
      <c r="Z203" s="8" t="s">
        <v>1261</v>
      </c>
      <c r="AA203" s="12" t="str">
        <f t="shared" si="11"/>
        <v>BRG-DE-VIB-MEC-INSP</v>
      </c>
    </row>
    <row r="204" spans="1:27" ht="20" customHeight="1" x14ac:dyDescent="0.35">
      <c r="A204" s="6" t="s">
        <v>1250</v>
      </c>
      <c r="B204" s="6" t="s">
        <v>985</v>
      </c>
      <c r="C204" s="13">
        <v>45546</v>
      </c>
      <c r="D204" s="6" t="s">
        <v>1362</v>
      </c>
      <c r="E204" s="6" t="s">
        <v>47</v>
      </c>
      <c r="F204" s="6" t="s">
        <v>1407</v>
      </c>
      <c r="G204" s="7" t="s">
        <v>116</v>
      </c>
      <c r="H204" s="7" t="s">
        <v>1324</v>
      </c>
      <c r="I204" s="8" t="s">
        <v>1292</v>
      </c>
      <c r="J204" s="8" t="s">
        <v>1293</v>
      </c>
      <c r="K204" s="9">
        <v>45546.972916666673</v>
      </c>
      <c r="L204" s="9">
        <v>45546.98333333333</v>
      </c>
      <c r="M204" s="9">
        <v>45547.004166666673</v>
      </c>
      <c r="N204" s="9">
        <v>45547.14166666667</v>
      </c>
      <c r="O204" s="10">
        <f t="shared" si="9"/>
        <v>3.2999999999301508</v>
      </c>
      <c r="P204" s="8">
        <v>0</v>
      </c>
      <c r="Q204" s="8" t="s">
        <v>1263</v>
      </c>
      <c r="R204" s="6" t="s">
        <v>1294</v>
      </c>
      <c r="S204" s="7" t="s">
        <v>1295</v>
      </c>
      <c r="T204" s="8" t="s">
        <v>1256</v>
      </c>
      <c r="U204" s="11">
        <f t="shared" si="10"/>
        <v>0</v>
      </c>
      <c r="V204" s="8" t="s">
        <v>1296</v>
      </c>
      <c r="W204" s="8" t="s">
        <v>1296</v>
      </c>
      <c r="X204" s="8" t="s">
        <v>1296</v>
      </c>
      <c r="Y204" s="8" t="s">
        <v>1296</v>
      </c>
      <c r="Z204" s="8" t="s">
        <v>1312</v>
      </c>
      <c r="AA204" s="12" t="str">
        <f t="shared" si="11"/>
        <v>UNK-UNK-UNK-UNK-REP</v>
      </c>
    </row>
    <row r="205" spans="1:27" ht="20" customHeight="1" x14ac:dyDescent="0.35">
      <c r="A205" s="6" t="s">
        <v>1250</v>
      </c>
      <c r="B205" s="6" t="s">
        <v>989</v>
      </c>
      <c r="C205" s="13">
        <v>45095</v>
      </c>
      <c r="D205" s="6" t="s">
        <v>633</v>
      </c>
      <c r="E205" s="6" t="s">
        <v>60</v>
      </c>
      <c r="F205" s="6" t="s">
        <v>1406</v>
      </c>
      <c r="G205" s="7" t="s">
        <v>38</v>
      </c>
      <c r="H205" s="7" t="s">
        <v>1283</v>
      </c>
      <c r="I205" s="8" t="s">
        <v>1284</v>
      </c>
      <c r="J205" s="8" t="s">
        <v>1285</v>
      </c>
      <c r="K205" s="9">
        <v>45095.375</v>
      </c>
      <c r="L205" s="9">
        <v>45095.375</v>
      </c>
      <c r="M205" s="9">
        <v>45095.375</v>
      </c>
      <c r="N205" s="9">
        <v>45095.387499999997</v>
      </c>
      <c r="O205" s="10">
        <f t="shared" si="9"/>
        <v>0.29999999993015081</v>
      </c>
      <c r="P205" s="8">
        <v>1</v>
      </c>
      <c r="Q205" s="8" t="s">
        <v>1263</v>
      </c>
      <c r="R205" s="6" t="s">
        <v>1286</v>
      </c>
      <c r="S205" s="7" t="s">
        <v>1287</v>
      </c>
      <c r="T205" s="8" t="s">
        <v>1256</v>
      </c>
      <c r="U205" s="11">
        <f t="shared" si="10"/>
        <v>0</v>
      </c>
      <c r="V205" s="8" t="s">
        <v>1296</v>
      </c>
      <c r="W205" s="8" t="s">
        <v>1296</v>
      </c>
      <c r="X205" s="8" t="s">
        <v>1296</v>
      </c>
      <c r="Y205" s="8" t="s">
        <v>1296</v>
      </c>
      <c r="Z205" s="8" t="s">
        <v>1261</v>
      </c>
      <c r="AA205" s="12" t="str">
        <f t="shared" si="11"/>
        <v>UNK-UNK-UNK-UNK-INSP</v>
      </c>
    </row>
    <row r="206" spans="1:27" ht="20" customHeight="1" x14ac:dyDescent="0.35">
      <c r="A206" s="6" t="s">
        <v>1250</v>
      </c>
      <c r="B206" s="6" t="s">
        <v>993</v>
      </c>
      <c r="C206" s="13">
        <v>45754</v>
      </c>
      <c r="D206" s="6" t="s">
        <v>929</v>
      </c>
      <c r="E206" s="6" t="s">
        <v>60</v>
      </c>
      <c r="F206" s="6" t="s">
        <v>1408</v>
      </c>
      <c r="G206" s="7" t="s">
        <v>996</v>
      </c>
      <c r="H206" s="7" t="s">
        <v>1283</v>
      </c>
      <c r="I206" s="8" t="s">
        <v>1284</v>
      </c>
      <c r="J206" s="8" t="s">
        <v>1285</v>
      </c>
      <c r="K206" s="9">
        <v>45754.416666666657</v>
      </c>
      <c r="L206" s="9">
        <v>45754.416666666657</v>
      </c>
      <c r="M206" s="9">
        <v>45754.416666666657</v>
      </c>
      <c r="N206" s="9">
        <v>45754.438888888893</v>
      </c>
      <c r="O206" s="10">
        <f t="shared" si="9"/>
        <v>0.53333333367481828</v>
      </c>
      <c r="P206" s="8">
        <v>1</v>
      </c>
      <c r="Q206" s="8" t="s">
        <v>1263</v>
      </c>
      <c r="R206" s="6" t="s">
        <v>1286</v>
      </c>
      <c r="S206" s="7" t="s">
        <v>1287</v>
      </c>
      <c r="T206" s="8" t="s">
        <v>1256</v>
      </c>
      <c r="U206" s="11">
        <f t="shared" si="10"/>
        <v>0</v>
      </c>
      <c r="V206" s="8" t="s">
        <v>1301</v>
      </c>
      <c r="W206" s="8" t="s">
        <v>1258</v>
      </c>
      <c r="X206" s="8" t="s">
        <v>1302</v>
      </c>
      <c r="Y206" s="8" t="s">
        <v>1260</v>
      </c>
      <c r="Z206" s="8" t="s">
        <v>1284</v>
      </c>
      <c r="AA206" s="12" t="str">
        <f t="shared" si="11"/>
        <v>BRG-DE-VIB-MEC-PM</v>
      </c>
    </row>
    <row r="207" spans="1:27" ht="20" customHeight="1" x14ac:dyDescent="0.35">
      <c r="A207" s="6" t="s">
        <v>1250</v>
      </c>
      <c r="B207" s="6" t="s">
        <v>999</v>
      </c>
      <c r="C207" s="13">
        <v>45611</v>
      </c>
      <c r="D207" s="6" t="s">
        <v>650</v>
      </c>
      <c r="E207" s="6" t="s">
        <v>34</v>
      </c>
      <c r="F207" s="6" t="s">
        <v>33</v>
      </c>
      <c r="G207" s="7" t="s">
        <v>82</v>
      </c>
      <c r="H207" s="7" t="s">
        <v>1311</v>
      </c>
      <c r="I207" s="8" t="s">
        <v>1292</v>
      </c>
      <c r="J207" s="8" t="s">
        <v>1293</v>
      </c>
      <c r="K207" s="9">
        <v>45611.744444444441</v>
      </c>
      <c r="L207" s="9">
        <v>45611.754861111112</v>
      </c>
      <c r="M207" s="9">
        <v>45611.775694444441</v>
      </c>
      <c r="N207" s="9">
        <v>45611.848611111112</v>
      </c>
      <c r="O207" s="10">
        <f t="shared" si="9"/>
        <v>1.7500000001164153</v>
      </c>
      <c r="P207" s="8">
        <v>0</v>
      </c>
      <c r="Q207" s="8" t="s">
        <v>1263</v>
      </c>
      <c r="R207" s="6" t="s">
        <v>1294</v>
      </c>
      <c r="S207" s="7" t="s">
        <v>1295</v>
      </c>
      <c r="T207" s="8" t="s">
        <v>1266</v>
      </c>
      <c r="U207" s="11">
        <f t="shared" si="10"/>
        <v>0</v>
      </c>
      <c r="V207" s="8" t="s">
        <v>1296</v>
      </c>
      <c r="W207" s="8" t="s">
        <v>1296</v>
      </c>
      <c r="X207" s="8" t="s">
        <v>1296</v>
      </c>
      <c r="Y207" s="8" t="s">
        <v>1296</v>
      </c>
      <c r="Z207" s="8" t="s">
        <v>1312</v>
      </c>
      <c r="AA207" s="12" t="str">
        <f t="shared" si="11"/>
        <v>UNK-UNK-UNK-UNK-REP</v>
      </c>
    </row>
    <row r="208" spans="1:27" ht="20" customHeight="1" x14ac:dyDescent="0.35">
      <c r="A208" s="6" t="s">
        <v>1250</v>
      </c>
      <c r="B208" s="6" t="s">
        <v>1003</v>
      </c>
      <c r="C208" s="13">
        <v>45884</v>
      </c>
      <c r="D208" s="6" t="s">
        <v>892</v>
      </c>
      <c r="E208" s="6" t="s">
        <v>207</v>
      </c>
      <c r="F208" s="6" t="s">
        <v>33</v>
      </c>
      <c r="G208" s="7" t="s">
        <v>855</v>
      </c>
      <c r="H208" s="7" t="s">
        <v>1389</v>
      </c>
      <c r="I208" s="8" t="s">
        <v>1272</v>
      </c>
      <c r="J208" s="8" t="s">
        <v>1252</v>
      </c>
      <c r="K208" s="9">
        <v>45884.195138888892</v>
      </c>
      <c r="L208" s="9">
        <v>45884.205555555563</v>
      </c>
      <c r="M208" s="9">
        <v>45884.226388888892</v>
      </c>
      <c r="N208" s="9">
        <v>45884.381249999999</v>
      </c>
      <c r="O208" s="10">
        <f t="shared" si="9"/>
        <v>3.7166666665580124</v>
      </c>
      <c r="P208" s="8">
        <v>0</v>
      </c>
      <c r="Q208" s="8" t="s">
        <v>1253</v>
      </c>
      <c r="R208" s="6" t="s">
        <v>1273</v>
      </c>
      <c r="S208" s="7" t="s">
        <v>1274</v>
      </c>
      <c r="T208" s="8" t="s">
        <v>1256</v>
      </c>
      <c r="U208" s="11">
        <f t="shared" si="10"/>
        <v>1</v>
      </c>
      <c r="V208" s="8" t="s">
        <v>1275</v>
      </c>
      <c r="W208" s="8" t="s">
        <v>1276</v>
      </c>
      <c r="X208" s="8" t="s">
        <v>1277</v>
      </c>
      <c r="Y208" s="8" t="s">
        <v>1275</v>
      </c>
      <c r="Z208" s="8" t="s">
        <v>1278</v>
      </c>
      <c r="AA208" s="12" t="str">
        <f t="shared" si="11"/>
        <v>INS-CTRL-DRF-INS-RST</v>
      </c>
    </row>
    <row r="209" spans="1:27" ht="20" customHeight="1" x14ac:dyDescent="0.35">
      <c r="A209" s="6" t="s">
        <v>1250</v>
      </c>
      <c r="B209" s="6" t="s">
        <v>1008</v>
      </c>
      <c r="C209" s="13">
        <v>45837</v>
      </c>
      <c r="D209" s="6" t="s">
        <v>633</v>
      </c>
      <c r="E209" s="6" t="s">
        <v>60</v>
      </c>
      <c r="F209" s="6" t="s">
        <v>1407</v>
      </c>
      <c r="G209" s="7" t="s">
        <v>116</v>
      </c>
      <c r="H209" s="7" t="s">
        <v>1324</v>
      </c>
      <c r="I209" s="8" t="s">
        <v>1292</v>
      </c>
      <c r="J209" s="8" t="s">
        <v>1293</v>
      </c>
      <c r="K209" s="9">
        <v>45837.686805555553</v>
      </c>
      <c r="L209" s="9">
        <v>45837.697222222218</v>
      </c>
      <c r="M209" s="9">
        <v>45837.718055555553</v>
      </c>
      <c r="N209" s="9">
        <v>45837.958333333343</v>
      </c>
      <c r="O209" s="10">
        <f t="shared" si="9"/>
        <v>5.7666666669538245</v>
      </c>
      <c r="P209" s="8">
        <v>0</v>
      </c>
      <c r="Q209" s="8" t="s">
        <v>1263</v>
      </c>
      <c r="R209" s="6" t="s">
        <v>1294</v>
      </c>
      <c r="S209" s="7" t="s">
        <v>1295</v>
      </c>
      <c r="T209" s="8" t="s">
        <v>1256</v>
      </c>
      <c r="U209" s="11">
        <f t="shared" si="10"/>
        <v>0</v>
      </c>
      <c r="V209" s="8" t="s">
        <v>1296</v>
      </c>
      <c r="W209" s="8" t="s">
        <v>1296</v>
      </c>
      <c r="X209" s="8" t="s">
        <v>1296</v>
      </c>
      <c r="Y209" s="8" t="s">
        <v>1296</v>
      </c>
      <c r="Z209" s="8" t="s">
        <v>1312</v>
      </c>
      <c r="AA209" s="12" t="str">
        <f t="shared" si="11"/>
        <v>UNK-UNK-UNK-UNK-REP</v>
      </c>
    </row>
    <row r="210" spans="1:27" ht="20" customHeight="1" x14ac:dyDescent="0.35">
      <c r="A210" s="6" t="s">
        <v>1250</v>
      </c>
      <c r="B210" s="6" t="s">
        <v>1013</v>
      </c>
      <c r="C210" s="13">
        <v>45324</v>
      </c>
      <c r="D210" s="6" t="s">
        <v>628</v>
      </c>
      <c r="E210" s="6" t="s">
        <v>47</v>
      </c>
      <c r="F210" s="6" t="s">
        <v>20</v>
      </c>
      <c r="G210" s="7" t="s">
        <v>204</v>
      </c>
      <c r="H210" s="7" t="s">
        <v>1331</v>
      </c>
      <c r="I210" s="8" t="s">
        <v>1292</v>
      </c>
      <c r="J210" s="8" t="s">
        <v>1293</v>
      </c>
      <c r="K210" s="9">
        <v>45324.927083333343</v>
      </c>
      <c r="L210" s="9">
        <v>45324.9375</v>
      </c>
      <c r="M210" s="9">
        <v>45324.958333333343</v>
      </c>
      <c r="N210" s="9">
        <v>45325.036111111112</v>
      </c>
      <c r="O210" s="10">
        <f t="shared" si="9"/>
        <v>1.8666666664648801</v>
      </c>
      <c r="P210" s="8">
        <v>0</v>
      </c>
      <c r="Q210" s="8" t="s">
        <v>1263</v>
      </c>
      <c r="R210" s="6" t="s">
        <v>1294</v>
      </c>
      <c r="S210" s="7" t="s">
        <v>1295</v>
      </c>
      <c r="T210" s="8" t="s">
        <v>1256</v>
      </c>
      <c r="U210" s="11">
        <f t="shared" si="10"/>
        <v>0</v>
      </c>
      <c r="V210" s="8" t="s">
        <v>1296</v>
      </c>
      <c r="W210" s="8" t="s">
        <v>1296</v>
      </c>
      <c r="X210" s="8" t="s">
        <v>1296</v>
      </c>
      <c r="Y210" s="8" t="s">
        <v>1296</v>
      </c>
      <c r="Z210" s="8" t="s">
        <v>1297</v>
      </c>
      <c r="AA210" s="12" t="str">
        <f t="shared" si="11"/>
        <v>UNK-UNK-UNK-UNK-ADJ</v>
      </c>
    </row>
    <row r="211" spans="1:27" ht="20" customHeight="1" x14ac:dyDescent="0.35">
      <c r="A211" s="6" t="s">
        <v>1250</v>
      </c>
      <c r="B211" s="6" t="s">
        <v>1017</v>
      </c>
      <c r="C211" s="13">
        <v>44962</v>
      </c>
      <c r="D211" s="6" t="s">
        <v>650</v>
      </c>
      <c r="E211" s="6" t="s">
        <v>34</v>
      </c>
      <c r="F211" s="6" t="s">
        <v>1407</v>
      </c>
      <c r="G211" s="7" t="s">
        <v>121</v>
      </c>
      <c r="H211" s="7" t="s">
        <v>1325</v>
      </c>
      <c r="I211" s="8" t="s">
        <v>1292</v>
      </c>
      <c r="J211" s="8" t="s">
        <v>1293</v>
      </c>
      <c r="K211" s="9">
        <v>44962.31527777778</v>
      </c>
      <c r="L211" s="9">
        <v>44962.325694444437</v>
      </c>
      <c r="M211" s="9">
        <v>44962.34652777778</v>
      </c>
      <c r="N211" s="9">
        <v>44962.419444444437</v>
      </c>
      <c r="O211" s="10">
        <f t="shared" si="9"/>
        <v>1.7499999997671694</v>
      </c>
      <c r="P211" s="8">
        <v>0</v>
      </c>
      <c r="Q211" s="8" t="s">
        <v>1263</v>
      </c>
      <c r="R211" s="6" t="s">
        <v>1294</v>
      </c>
      <c r="S211" s="7" t="s">
        <v>1295</v>
      </c>
      <c r="T211" s="8" t="s">
        <v>1266</v>
      </c>
      <c r="U211" s="11">
        <f t="shared" si="10"/>
        <v>0</v>
      </c>
      <c r="V211" s="8" t="s">
        <v>1296</v>
      </c>
      <c r="W211" s="8" t="s">
        <v>1296</v>
      </c>
      <c r="X211" s="8" t="s">
        <v>1296</v>
      </c>
      <c r="Y211" s="8" t="s">
        <v>1296</v>
      </c>
      <c r="Z211" s="8" t="s">
        <v>1261</v>
      </c>
      <c r="AA211" s="12" t="str">
        <f t="shared" si="11"/>
        <v>UNK-UNK-UNK-UNK-INSP</v>
      </c>
    </row>
    <row r="212" spans="1:27" ht="20" customHeight="1" x14ac:dyDescent="0.35">
      <c r="A212" s="6" t="s">
        <v>1250</v>
      </c>
      <c r="B212" s="6" t="s">
        <v>1020</v>
      </c>
      <c r="C212" s="13">
        <v>45378</v>
      </c>
      <c r="D212" s="6" t="s">
        <v>1393</v>
      </c>
      <c r="E212" s="6" t="s">
        <v>34</v>
      </c>
      <c r="F212" s="6" t="s">
        <v>1405</v>
      </c>
      <c r="G212" s="7" t="s">
        <v>116</v>
      </c>
      <c r="H212" s="7" t="s">
        <v>1324</v>
      </c>
      <c r="I212" s="8" t="s">
        <v>1292</v>
      </c>
      <c r="J212" s="8" t="s">
        <v>1293</v>
      </c>
      <c r="K212" s="9">
        <v>45378.902083333327</v>
      </c>
      <c r="L212" s="9">
        <v>45378.912499999999</v>
      </c>
      <c r="M212" s="9">
        <v>45378.933333333327</v>
      </c>
      <c r="N212" s="9">
        <v>45379.219444444447</v>
      </c>
      <c r="O212" s="10">
        <f t="shared" si="9"/>
        <v>6.8666666668723337</v>
      </c>
      <c r="P212" s="8">
        <v>0</v>
      </c>
      <c r="Q212" s="8" t="s">
        <v>1263</v>
      </c>
      <c r="R212" s="6" t="s">
        <v>1294</v>
      </c>
      <c r="S212" s="7" t="s">
        <v>1295</v>
      </c>
      <c r="T212" s="8" t="s">
        <v>1256</v>
      </c>
      <c r="U212" s="11">
        <f t="shared" si="10"/>
        <v>0</v>
      </c>
      <c r="V212" s="8" t="s">
        <v>1296</v>
      </c>
      <c r="W212" s="8" t="s">
        <v>1296</v>
      </c>
      <c r="X212" s="8" t="s">
        <v>1296</v>
      </c>
      <c r="Y212" s="8" t="s">
        <v>1296</v>
      </c>
      <c r="Z212" s="8" t="s">
        <v>1312</v>
      </c>
      <c r="AA212" s="12" t="str">
        <f t="shared" si="11"/>
        <v>UNK-UNK-UNK-UNK-REP</v>
      </c>
    </row>
    <row r="213" spans="1:27" ht="20" customHeight="1" x14ac:dyDescent="0.35">
      <c r="A213" s="6" t="s">
        <v>1250</v>
      </c>
      <c r="B213" s="6" t="s">
        <v>1024</v>
      </c>
      <c r="C213" s="13">
        <v>45875</v>
      </c>
      <c r="D213" s="6" t="s">
        <v>918</v>
      </c>
      <c r="E213" s="6" t="s">
        <v>47</v>
      </c>
      <c r="F213" s="6" t="s">
        <v>33</v>
      </c>
      <c r="G213" s="7" t="s">
        <v>1027</v>
      </c>
      <c r="H213" s="7" t="s">
        <v>1283</v>
      </c>
      <c r="I213" s="8" t="s">
        <v>1284</v>
      </c>
      <c r="J213" s="8" t="s">
        <v>1285</v>
      </c>
      <c r="K213" s="9">
        <v>45875.518055555563</v>
      </c>
      <c r="L213" s="9">
        <v>45875.518055555563</v>
      </c>
      <c r="M213" s="9">
        <v>45875.518055555563</v>
      </c>
      <c r="N213" s="9">
        <v>45875.580555555563</v>
      </c>
      <c r="O213" s="10">
        <f t="shared" si="9"/>
        <v>1.5</v>
      </c>
      <c r="P213" s="8">
        <v>1</v>
      </c>
      <c r="Q213" s="8" t="s">
        <v>1263</v>
      </c>
      <c r="R213" s="6" t="s">
        <v>1286</v>
      </c>
      <c r="S213" s="7" t="s">
        <v>1287</v>
      </c>
      <c r="T213" s="8" t="s">
        <v>1266</v>
      </c>
      <c r="U213" s="11">
        <f t="shared" si="10"/>
        <v>0</v>
      </c>
      <c r="V213" s="8" t="s">
        <v>1267</v>
      </c>
      <c r="W213" s="8" t="s">
        <v>1268</v>
      </c>
      <c r="X213" s="8" t="s">
        <v>1269</v>
      </c>
      <c r="Y213" s="8" t="s">
        <v>1260</v>
      </c>
      <c r="Z213" s="8" t="s">
        <v>1326</v>
      </c>
      <c r="AA213" s="12" t="str">
        <f t="shared" si="11"/>
        <v>FIL-SUC-BLK-MEC-CLN</v>
      </c>
    </row>
    <row r="214" spans="1:27" ht="20" customHeight="1" x14ac:dyDescent="0.35">
      <c r="A214" s="6" t="s">
        <v>1250</v>
      </c>
      <c r="B214" s="6" t="s">
        <v>1029</v>
      </c>
      <c r="C214" s="13">
        <v>45699</v>
      </c>
      <c r="D214" s="6" t="s">
        <v>1031</v>
      </c>
      <c r="E214" s="6" t="s">
        <v>21</v>
      </c>
      <c r="F214" s="6" t="s">
        <v>1407</v>
      </c>
      <c r="G214" s="7" t="s">
        <v>1032</v>
      </c>
      <c r="H214" s="7" t="s">
        <v>1394</v>
      </c>
      <c r="I214" s="8" t="s">
        <v>1292</v>
      </c>
      <c r="J214" s="8" t="s">
        <v>1293</v>
      </c>
      <c r="K214" s="9">
        <v>45699.334027777782</v>
      </c>
      <c r="L214" s="9">
        <v>45699.344444444447</v>
      </c>
      <c r="M214" s="9">
        <v>45699.365277777782</v>
      </c>
      <c r="N214" s="9">
        <v>45699.55</v>
      </c>
      <c r="O214" s="10">
        <f t="shared" si="9"/>
        <v>4.4333333332906477</v>
      </c>
      <c r="P214" s="8">
        <v>0</v>
      </c>
      <c r="Q214" s="8" t="s">
        <v>1263</v>
      </c>
      <c r="R214" s="6" t="s">
        <v>1294</v>
      </c>
      <c r="S214" s="7" t="s">
        <v>1295</v>
      </c>
      <c r="T214" s="8" t="s">
        <v>1256</v>
      </c>
      <c r="U214" s="11">
        <f t="shared" si="10"/>
        <v>0</v>
      </c>
      <c r="V214" s="8" t="s">
        <v>1296</v>
      </c>
      <c r="W214" s="8" t="s">
        <v>1296</v>
      </c>
      <c r="X214" s="8" t="s">
        <v>1296</v>
      </c>
      <c r="Y214" s="8" t="s">
        <v>1296</v>
      </c>
      <c r="Z214" s="8" t="s">
        <v>1261</v>
      </c>
      <c r="AA214" s="12" t="str">
        <f t="shared" si="11"/>
        <v>UNK-UNK-UNK-UNK-INSP</v>
      </c>
    </row>
    <row r="215" spans="1:27" ht="20" customHeight="1" x14ac:dyDescent="0.35">
      <c r="A215" s="6" t="s">
        <v>1250</v>
      </c>
      <c r="B215" s="6" t="s">
        <v>1035</v>
      </c>
      <c r="C215" s="13">
        <v>45442</v>
      </c>
      <c r="D215" s="6" t="s">
        <v>628</v>
      </c>
      <c r="E215" s="6" t="s">
        <v>47</v>
      </c>
      <c r="F215" s="6" t="s">
        <v>1404</v>
      </c>
      <c r="G215" s="7" t="s">
        <v>116</v>
      </c>
      <c r="H215" s="7" t="s">
        <v>1324</v>
      </c>
      <c r="I215" s="8" t="s">
        <v>1292</v>
      </c>
      <c r="J215" s="8" t="s">
        <v>1293</v>
      </c>
      <c r="K215" s="9">
        <v>45442.393055555563</v>
      </c>
      <c r="L215" s="9">
        <v>45442.40347222222</v>
      </c>
      <c r="M215" s="9">
        <v>45442.424305555563</v>
      </c>
      <c r="N215" s="9">
        <v>45442.493055555547</v>
      </c>
      <c r="O215" s="10">
        <f t="shared" si="9"/>
        <v>1.6499999996158294</v>
      </c>
      <c r="P215" s="8">
        <v>0</v>
      </c>
      <c r="Q215" s="8" t="s">
        <v>1263</v>
      </c>
      <c r="R215" s="6" t="s">
        <v>1294</v>
      </c>
      <c r="S215" s="7" t="s">
        <v>1295</v>
      </c>
      <c r="T215" s="8" t="s">
        <v>1256</v>
      </c>
      <c r="U215" s="11">
        <f t="shared" si="10"/>
        <v>0</v>
      </c>
      <c r="V215" s="8" t="s">
        <v>1296</v>
      </c>
      <c r="W215" s="8" t="s">
        <v>1296</v>
      </c>
      <c r="X215" s="8" t="s">
        <v>1296</v>
      </c>
      <c r="Y215" s="8" t="s">
        <v>1296</v>
      </c>
      <c r="Z215" s="8" t="s">
        <v>1312</v>
      </c>
      <c r="AA215" s="12" t="str">
        <f t="shared" si="11"/>
        <v>UNK-UNK-UNK-UNK-REP</v>
      </c>
    </row>
    <row r="216" spans="1:27" ht="20" customHeight="1" x14ac:dyDescent="0.35">
      <c r="A216" s="6" t="s">
        <v>1250</v>
      </c>
      <c r="B216" s="6" t="s">
        <v>1039</v>
      </c>
      <c r="C216" s="13">
        <v>45301</v>
      </c>
      <c r="D216" s="6" t="s">
        <v>17</v>
      </c>
      <c r="E216" s="6" t="s">
        <v>21</v>
      </c>
      <c r="F216" s="6" t="s">
        <v>33</v>
      </c>
      <c r="G216" s="7" t="s">
        <v>461</v>
      </c>
      <c r="H216" s="7" t="s">
        <v>1367</v>
      </c>
      <c r="I216" s="8" t="s">
        <v>1272</v>
      </c>
      <c r="J216" s="8" t="s">
        <v>1252</v>
      </c>
      <c r="K216" s="9">
        <v>45301.463888888888</v>
      </c>
      <c r="L216" s="9">
        <v>45301.474305555559</v>
      </c>
      <c r="M216" s="9">
        <v>45301.495138888888</v>
      </c>
      <c r="N216" s="9">
        <v>45301.536111111112</v>
      </c>
      <c r="O216" s="10">
        <f t="shared" si="9"/>
        <v>0.9833333333954215</v>
      </c>
      <c r="P216" s="8">
        <v>0</v>
      </c>
      <c r="Q216" s="8" t="s">
        <v>1263</v>
      </c>
      <c r="R216" s="6" t="s">
        <v>1273</v>
      </c>
      <c r="S216" s="7" t="s">
        <v>1274</v>
      </c>
      <c r="T216" s="8" t="s">
        <v>1256</v>
      </c>
      <c r="U216" s="11">
        <f t="shared" si="10"/>
        <v>1</v>
      </c>
      <c r="V216" s="8" t="s">
        <v>1275</v>
      </c>
      <c r="W216" s="8" t="s">
        <v>1276</v>
      </c>
      <c r="X216" s="8" t="s">
        <v>1277</v>
      </c>
      <c r="Y216" s="8" t="s">
        <v>1275</v>
      </c>
      <c r="Z216" s="8" t="s">
        <v>1278</v>
      </c>
      <c r="AA216" s="12" t="str">
        <f t="shared" si="11"/>
        <v>INS-CTRL-DRF-INS-RST</v>
      </c>
    </row>
    <row r="217" spans="1:27" ht="20" customHeight="1" x14ac:dyDescent="0.35">
      <c r="A217" s="6" t="s">
        <v>1250</v>
      </c>
      <c r="B217" s="6" t="s">
        <v>1044</v>
      </c>
      <c r="C217" s="13">
        <v>45789</v>
      </c>
      <c r="D217" s="6" t="s">
        <v>347</v>
      </c>
      <c r="E217" s="6" t="s">
        <v>41</v>
      </c>
      <c r="F217" s="6" t="s">
        <v>1408</v>
      </c>
      <c r="G217" s="7" t="s">
        <v>1046</v>
      </c>
      <c r="H217" s="7" t="s">
        <v>1395</v>
      </c>
      <c r="I217" s="8" t="s">
        <v>1272</v>
      </c>
      <c r="J217" s="8" t="s">
        <v>1252</v>
      </c>
      <c r="K217" s="9">
        <v>45789.853472222218</v>
      </c>
      <c r="L217" s="9">
        <v>45789.863888888889</v>
      </c>
      <c r="M217" s="9">
        <v>45789.884722222218</v>
      </c>
      <c r="N217" s="9">
        <v>45790.090277777781</v>
      </c>
      <c r="O217" s="10">
        <f t="shared" si="9"/>
        <v>4.9333333335234784</v>
      </c>
      <c r="P217" s="8">
        <v>0</v>
      </c>
      <c r="Q217" s="8" t="s">
        <v>1253</v>
      </c>
      <c r="R217" s="6" t="s">
        <v>1273</v>
      </c>
      <c r="S217" s="7" t="s">
        <v>1274</v>
      </c>
      <c r="T217" s="8" t="s">
        <v>1256</v>
      </c>
      <c r="U217" s="11">
        <f t="shared" si="10"/>
        <v>1</v>
      </c>
      <c r="V217" s="8" t="s">
        <v>1305</v>
      </c>
      <c r="W217" s="8" t="s">
        <v>1276</v>
      </c>
      <c r="X217" s="8" t="s">
        <v>1306</v>
      </c>
      <c r="Y217" s="8" t="s">
        <v>1290</v>
      </c>
      <c r="Z217" s="8" t="s">
        <v>1278</v>
      </c>
      <c r="AA217" s="12" t="str">
        <f t="shared" si="11"/>
        <v>SYS-CTRL-TRP-CTL-RST</v>
      </c>
    </row>
    <row r="218" spans="1:27" ht="20" customHeight="1" x14ac:dyDescent="0.35">
      <c r="A218" s="6" t="s">
        <v>1250</v>
      </c>
      <c r="B218" s="6" t="s">
        <v>1049</v>
      </c>
      <c r="C218" s="13">
        <v>45014</v>
      </c>
      <c r="D218" s="6" t="s">
        <v>716</v>
      </c>
      <c r="E218" s="6" t="s">
        <v>14</v>
      </c>
      <c r="F218" s="6" t="s">
        <v>20</v>
      </c>
      <c r="G218" s="7" t="s">
        <v>88</v>
      </c>
      <c r="H218" s="7" t="s">
        <v>1313</v>
      </c>
      <c r="I218" s="8" t="s">
        <v>1272</v>
      </c>
      <c r="J218" s="8" t="s">
        <v>1252</v>
      </c>
      <c r="K218" s="9">
        <v>45014.738888888889</v>
      </c>
      <c r="L218" s="9">
        <v>45014.749305555553</v>
      </c>
      <c r="M218" s="9">
        <v>45014.770138888889</v>
      </c>
      <c r="N218" s="9">
        <v>45014.822222222218</v>
      </c>
      <c r="O218" s="10">
        <f t="shared" si="9"/>
        <v>1.2499999998835847</v>
      </c>
      <c r="P218" s="8">
        <v>0</v>
      </c>
      <c r="Q218" s="8" t="s">
        <v>1253</v>
      </c>
      <c r="R218" s="6" t="s">
        <v>1273</v>
      </c>
      <c r="S218" s="7" t="s">
        <v>1274</v>
      </c>
      <c r="T218" s="8" t="s">
        <v>1266</v>
      </c>
      <c r="U218" s="11">
        <f t="shared" si="10"/>
        <v>1</v>
      </c>
      <c r="V218" s="8" t="s">
        <v>1305</v>
      </c>
      <c r="W218" s="8" t="s">
        <v>1276</v>
      </c>
      <c r="X218" s="8" t="s">
        <v>1306</v>
      </c>
      <c r="Y218" s="8" t="s">
        <v>1290</v>
      </c>
      <c r="Z218" s="8" t="s">
        <v>1278</v>
      </c>
      <c r="AA218" s="12" t="str">
        <f t="shared" si="11"/>
        <v>SYS-CTRL-TRP-CTL-RST</v>
      </c>
    </row>
    <row r="219" spans="1:27" ht="20" customHeight="1" x14ac:dyDescent="0.35">
      <c r="A219" s="6" t="s">
        <v>1250</v>
      </c>
      <c r="B219" s="6" t="s">
        <v>1052</v>
      </c>
      <c r="C219" s="13">
        <v>45239</v>
      </c>
      <c r="D219" s="6" t="s">
        <v>1309</v>
      </c>
      <c r="E219" s="6" t="s">
        <v>47</v>
      </c>
      <c r="F219" s="6" t="s">
        <v>1408</v>
      </c>
      <c r="G219" s="7" t="s">
        <v>204</v>
      </c>
      <c r="H219" s="7" t="s">
        <v>1331</v>
      </c>
      <c r="I219" s="8" t="s">
        <v>1292</v>
      </c>
      <c r="J219" s="8" t="s">
        <v>1293</v>
      </c>
      <c r="K219" s="9">
        <v>45239.450694444437</v>
      </c>
      <c r="L219" s="9">
        <v>45239.461111111108</v>
      </c>
      <c r="M219" s="9">
        <v>45239.481944444437</v>
      </c>
      <c r="N219" s="9">
        <v>45240.09652777778</v>
      </c>
      <c r="O219" s="10">
        <f t="shared" si="9"/>
        <v>14.750000000232831</v>
      </c>
      <c r="P219" s="8">
        <v>0</v>
      </c>
      <c r="Q219" s="8" t="s">
        <v>1263</v>
      </c>
      <c r="R219" s="6" t="s">
        <v>1294</v>
      </c>
      <c r="S219" s="7" t="s">
        <v>1295</v>
      </c>
      <c r="T219" s="8" t="s">
        <v>1256</v>
      </c>
      <c r="U219" s="11">
        <f t="shared" si="10"/>
        <v>0</v>
      </c>
      <c r="V219" s="8" t="s">
        <v>1296</v>
      </c>
      <c r="W219" s="8" t="s">
        <v>1296</v>
      </c>
      <c r="X219" s="8" t="s">
        <v>1296</v>
      </c>
      <c r="Y219" s="8" t="s">
        <v>1296</v>
      </c>
      <c r="Z219" s="8" t="s">
        <v>1297</v>
      </c>
      <c r="AA219" s="12" t="str">
        <f t="shared" si="11"/>
        <v>UNK-UNK-UNK-UNK-ADJ</v>
      </c>
    </row>
    <row r="220" spans="1:27" ht="20" customHeight="1" x14ac:dyDescent="0.35">
      <c r="A220" s="6" t="s">
        <v>1250</v>
      </c>
      <c r="B220" s="6" t="s">
        <v>1057</v>
      </c>
      <c r="C220" s="13">
        <v>45597</v>
      </c>
      <c r="D220" s="6" t="s">
        <v>1328</v>
      </c>
      <c r="E220" s="6" t="s">
        <v>60</v>
      </c>
      <c r="F220" s="6" t="s">
        <v>33</v>
      </c>
      <c r="G220" s="7" t="s">
        <v>752</v>
      </c>
      <c r="H220" s="7" t="s">
        <v>1382</v>
      </c>
      <c r="I220" s="8" t="s">
        <v>1292</v>
      </c>
      <c r="J220" s="8" t="s">
        <v>1293</v>
      </c>
      <c r="K220" s="9">
        <v>45597.77847222222</v>
      </c>
      <c r="L220" s="9">
        <v>45597.788888888892</v>
      </c>
      <c r="M220" s="9">
        <v>45597.80972222222</v>
      </c>
      <c r="N220" s="9">
        <v>45598.080555555563</v>
      </c>
      <c r="O220" s="10">
        <f t="shared" si="9"/>
        <v>6.5000000002328306</v>
      </c>
      <c r="P220" s="8">
        <v>0</v>
      </c>
      <c r="Q220" s="8" t="s">
        <v>1263</v>
      </c>
      <c r="R220" s="6" t="s">
        <v>1294</v>
      </c>
      <c r="S220" s="7" t="s">
        <v>1295</v>
      </c>
      <c r="T220" s="8" t="s">
        <v>1256</v>
      </c>
      <c r="U220" s="11">
        <f t="shared" si="10"/>
        <v>0</v>
      </c>
      <c r="V220" s="8" t="s">
        <v>1296</v>
      </c>
      <c r="W220" s="8" t="s">
        <v>1296</v>
      </c>
      <c r="X220" s="8" t="s">
        <v>1296</v>
      </c>
      <c r="Y220" s="8" t="s">
        <v>1296</v>
      </c>
      <c r="Z220" s="8" t="s">
        <v>1261</v>
      </c>
      <c r="AA220" s="12" t="str">
        <f t="shared" si="11"/>
        <v>UNK-UNK-UNK-UNK-INSP</v>
      </c>
    </row>
    <row r="221" spans="1:27" ht="20" customHeight="1" x14ac:dyDescent="0.35">
      <c r="A221" s="6" t="s">
        <v>1250</v>
      </c>
      <c r="B221" s="6" t="s">
        <v>1062</v>
      </c>
      <c r="C221" s="13">
        <v>44961</v>
      </c>
      <c r="D221" s="6" t="s">
        <v>1064</v>
      </c>
      <c r="E221" s="6" t="s">
        <v>21</v>
      </c>
      <c r="F221" s="6" t="s">
        <v>1405</v>
      </c>
      <c r="G221" s="7" t="s">
        <v>412</v>
      </c>
      <c r="H221" s="7" t="s">
        <v>1356</v>
      </c>
      <c r="I221" s="8" t="s">
        <v>1252</v>
      </c>
      <c r="J221" s="8" t="s">
        <v>1252</v>
      </c>
      <c r="K221" s="9">
        <v>44961.115972222222</v>
      </c>
      <c r="L221" s="9">
        <v>44961.126388888893</v>
      </c>
      <c r="M221" s="9">
        <v>44961.147222222222</v>
      </c>
      <c r="N221" s="9">
        <v>44961.308333333327</v>
      </c>
      <c r="O221" s="10">
        <f t="shared" si="9"/>
        <v>3.8666666665230878</v>
      </c>
      <c r="P221" s="8">
        <v>0</v>
      </c>
      <c r="Q221" s="8" t="s">
        <v>1253</v>
      </c>
      <c r="R221" s="6" t="s">
        <v>1320</v>
      </c>
      <c r="S221" s="7" t="s">
        <v>1321</v>
      </c>
      <c r="T221" s="8" t="s">
        <v>1256</v>
      </c>
      <c r="U221" s="11">
        <f t="shared" si="10"/>
        <v>1</v>
      </c>
      <c r="V221" s="8" t="s">
        <v>1322</v>
      </c>
      <c r="W221" s="8" t="s">
        <v>1258</v>
      </c>
      <c r="X221" s="8" t="s">
        <v>1323</v>
      </c>
      <c r="Y221" s="8" t="s">
        <v>1260</v>
      </c>
      <c r="Z221" s="8" t="s">
        <v>1312</v>
      </c>
      <c r="AA221" s="12" t="str">
        <f t="shared" si="11"/>
        <v>SEA-DE-LEK-MEC-REP</v>
      </c>
    </row>
    <row r="222" spans="1:27" ht="20" customHeight="1" x14ac:dyDescent="0.35">
      <c r="A222" s="6" t="s">
        <v>1250</v>
      </c>
      <c r="B222" s="6" t="s">
        <v>1067</v>
      </c>
      <c r="C222" s="13">
        <v>45843</v>
      </c>
      <c r="D222" s="6" t="s">
        <v>576</v>
      </c>
      <c r="E222" s="6" t="s">
        <v>60</v>
      </c>
      <c r="F222" s="6" t="s">
        <v>33</v>
      </c>
      <c r="G222" s="7" t="s">
        <v>526</v>
      </c>
      <c r="H222" s="7" t="s">
        <v>1371</v>
      </c>
      <c r="I222" s="8" t="s">
        <v>1292</v>
      </c>
      <c r="J222" s="8" t="s">
        <v>1293</v>
      </c>
      <c r="K222" s="9">
        <v>45843.588888888888</v>
      </c>
      <c r="L222" s="9">
        <v>45843.599305555559</v>
      </c>
      <c r="M222" s="9">
        <v>45843.620138888888</v>
      </c>
      <c r="N222" s="9">
        <v>45843.788194444453</v>
      </c>
      <c r="O222" s="10">
        <f t="shared" si="9"/>
        <v>4.033333333558403</v>
      </c>
      <c r="P222" s="8">
        <v>0</v>
      </c>
      <c r="Q222" s="8" t="s">
        <v>1263</v>
      </c>
      <c r="R222" s="6" t="s">
        <v>1294</v>
      </c>
      <c r="S222" s="7" t="s">
        <v>1295</v>
      </c>
      <c r="T222" s="8" t="s">
        <v>1256</v>
      </c>
      <c r="U222" s="11">
        <f t="shared" si="10"/>
        <v>0</v>
      </c>
      <c r="V222" s="8" t="s">
        <v>1296</v>
      </c>
      <c r="W222" s="8" t="s">
        <v>1296</v>
      </c>
      <c r="X222" s="8" t="s">
        <v>1296</v>
      </c>
      <c r="Y222" s="8" t="s">
        <v>1296</v>
      </c>
      <c r="Z222" s="8" t="s">
        <v>1261</v>
      </c>
      <c r="AA222" s="12" t="str">
        <f t="shared" si="11"/>
        <v>UNK-UNK-UNK-UNK-INSP</v>
      </c>
    </row>
    <row r="223" spans="1:27" ht="20" customHeight="1" x14ac:dyDescent="0.35">
      <c r="A223" s="6" t="s">
        <v>1250</v>
      </c>
      <c r="B223" s="6" t="s">
        <v>1072</v>
      </c>
      <c r="C223" s="13">
        <v>44967</v>
      </c>
      <c r="D223" s="6" t="s">
        <v>383</v>
      </c>
      <c r="E223" s="6" t="s">
        <v>47</v>
      </c>
      <c r="F223" s="6" t="s">
        <v>1405</v>
      </c>
      <c r="G223" s="7" t="s">
        <v>378</v>
      </c>
      <c r="H223" s="7" t="s">
        <v>1352</v>
      </c>
      <c r="I223" s="8" t="s">
        <v>1292</v>
      </c>
      <c r="J223" s="8" t="s">
        <v>1293</v>
      </c>
      <c r="K223" s="9">
        <v>44967.416666666657</v>
      </c>
      <c r="L223" s="9">
        <v>44967.427083333343</v>
      </c>
      <c r="M223" s="9">
        <v>44967.447916666657</v>
      </c>
      <c r="N223" s="9">
        <v>44967.479166666657</v>
      </c>
      <c r="O223" s="10">
        <f t="shared" si="9"/>
        <v>0.75</v>
      </c>
      <c r="P223" s="8">
        <v>0</v>
      </c>
      <c r="Q223" s="8" t="s">
        <v>1263</v>
      </c>
      <c r="R223" s="6" t="s">
        <v>1294</v>
      </c>
      <c r="S223" s="7" t="s">
        <v>1295</v>
      </c>
      <c r="T223" s="8" t="s">
        <v>1266</v>
      </c>
      <c r="U223" s="11">
        <f t="shared" si="10"/>
        <v>0</v>
      </c>
      <c r="V223" s="8" t="s">
        <v>1296</v>
      </c>
      <c r="W223" s="8" t="s">
        <v>1296</v>
      </c>
      <c r="X223" s="8" t="s">
        <v>1296</v>
      </c>
      <c r="Y223" s="8" t="s">
        <v>1296</v>
      </c>
      <c r="Z223" s="8" t="s">
        <v>1261</v>
      </c>
      <c r="AA223" s="12" t="str">
        <f t="shared" si="11"/>
        <v>UNK-UNK-UNK-UNK-INSP</v>
      </c>
    </row>
    <row r="224" spans="1:27" ht="20" customHeight="1" x14ac:dyDescent="0.35">
      <c r="A224" s="6" t="s">
        <v>1250</v>
      </c>
      <c r="B224" s="6" t="s">
        <v>1074</v>
      </c>
      <c r="C224" s="13">
        <v>45100</v>
      </c>
      <c r="D224" s="6" t="s">
        <v>775</v>
      </c>
      <c r="E224" s="6" t="s">
        <v>47</v>
      </c>
      <c r="F224" s="6" t="s">
        <v>144</v>
      </c>
      <c r="G224" s="7" t="s">
        <v>121</v>
      </c>
      <c r="H224" s="7" t="s">
        <v>1325</v>
      </c>
      <c r="I224" s="8" t="s">
        <v>1292</v>
      </c>
      <c r="J224" s="8" t="s">
        <v>1293</v>
      </c>
      <c r="K224" s="9">
        <v>45100.255555555559</v>
      </c>
      <c r="L224" s="9">
        <v>45100.265972222223</v>
      </c>
      <c r="M224" s="9">
        <v>45100.286805555559</v>
      </c>
      <c r="N224" s="9">
        <v>45100.359722222223</v>
      </c>
      <c r="O224" s="10">
        <f t="shared" si="9"/>
        <v>1.7499999999417923</v>
      </c>
      <c r="P224" s="8">
        <v>0</v>
      </c>
      <c r="Q224" s="8" t="s">
        <v>1253</v>
      </c>
      <c r="R224" s="6" t="s">
        <v>1294</v>
      </c>
      <c r="S224" s="7" t="s">
        <v>1295</v>
      </c>
      <c r="T224" s="8" t="s">
        <v>1266</v>
      </c>
      <c r="U224" s="11">
        <f t="shared" si="10"/>
        <v>0</v>
      </c>
      <c r="V224" s="8" t="s">
        <v>1288</v>
      </c>
      <c r="W224" s="8" t="s">
        <v>1276</v>
      </c>
      <c r="X224" s="8" t="s">
        <v>1289</v>
      </c>
      <c r="Y224" s="8" t="s">
        <v>1290</v>
      </c>
      <c r="Z224" s="8" t="s">
        <v>1261</v>
      </c>
      <c r="AA224" s="12" t="str">
        <f t="shared" si="11"/>
        <v>ACT-CTRL-STK-CTL-INSP</v>
      </c>
    </row>
    <row r="225" spans="1:27" ht="20" customHeight="1" x14ac:dyDescent="0.35">
      <c r="A225" s="6" t="s">
        <v>1250</v>
      </c>
      <c r="B225" s="6" t="s">
        <v>1076</v>
      </c>
      <c r="C225" s="13">
        <v>45119</v>
      </c>
      <c r="D225" s="6" t="s">
        <v>1340</v>
      </c>
      <c r="E225" s="6" t="s">
        <v>41</v>
      </c>
      <c r="F225" s="6" t="s">
        <v>20</v>
      </c>
      <c r="G225" s="7" t="s">
        <v>194</v>
      </c>
      <c r="H225" s="7" t="s">
        <v>1330</v>
      </c>
      <c r="I225" s="8" t="s">
        <v>1292</v>
      </c>
      <c r="J225" s="8" t="s">
        <v>1293</v>
      </c>
      <c r="K225" s="9">
        <v>45119.291666666657</v>
      </c>
      <c r="L225" s="9">
        <v>45119.302083333343</v>
      </c>
      <c r="M225" s="9">
        <v>45119.322916666657</v>
      </c>
      <c r="N225" s="9">
        <v>45119.368750000001</v>
      </c>
      <c r="O225" s="10">
        <f t="shared" si="9"/>
        <v>1.1000000002677552</v>
      </c>
      <c r="P225" s="8">
        <v>0</v>
      </c>
      <c r="Q225" s="8" t="s">
        <v>1263</v>
      </c>
      <c r="R225" s="6" t="s">
        <v>1294</v>
      </c>
      <c r="S225" s="7" t="s">
        <v>1295</v>
      </c>
      <c r="T225" s="8" t="s">
        <v>1256</v>
      </c>
      <c r="U225" s="11">
        <f t="shared" si="10"/>
        <v>0</v>
      </c>
      <c r="V225" s="8" t="s">
        <v>1296</v>
      </c>
      <c r="W225" s="8" t="s">
        <v>1296</v>
      </c>
      <c r="X225" s="8" t="s">
        <v>1296</v>
      </c>
      <c r="Y225" s="8" t="s">
        <v>1296</v>
      </c>
      <c r="Z225" s="8" t="s">
        <v>1326</v>
      </c>
      <c r="AA225" s="12" t="str">
        <f t="shared" si="11"/>
        <v>UNK-UNK-UNK-UNK-CLN</v>
      </c>
    </row>
    <row r="226" spans="1:27" ht="20" customHeight="1" x14ac:dyDescent="0.35">
      <c r="A226" s="6" t="s">
        <v>1250</v>
      </c>
      <c r="B226" s="6" t="s">
        <v>1080</v>
      </c>
      <c r="C226" s="13">
        <v>45952</v>
      </c>
      <c r="D226" s="6" t="s">
        <v>203</v>
      </c>
      <c r="E226" s="6" t="s">
        <v>207</v>
      </c>
      <c r="F226" s="6" t="s">
        <v>144</v>
      </c>
      <c r="G226" s="7" t="s">
        <v>82</v>
      </c>
      <c r="H226" s="7" t="s">
        <v>1311</v>
      </c>
      <c r="I226" s="8" t="s">
        <v>1292</v>
      </c>
      <c r="J226" s="8" t="s">
        <v>1293</v>
      </c>
      <c r="K226" s="9">
        <v>45952.257638888892</v>
      </c>
      <c r="L226" s="9">
        <v>45952.268055555563</v>
      </c>
      <c r="M226" s="9">
        <v>45952.288888888892</v>
      </c>
      <c r="N226" s="9">
        <v>45952.365972222222</v>
      </c>
      <c r="O226" s="10">
        <f t="shared" si="9"/>
        <v>1.8499999999185093</v>
      </c>
      <c r="P226" s="8">
        <v>0</v>
      </c>
      <c r="Q226" s="8" t="s">
        <v>1263</v>
      </c>
      <c r="R226" s="6" t="s">
        <v>1294</v>
      </c>
      <c r="S226" s="7" t="s">
        <v>1295</v>
      </c>
      <c r="T226" s="8" t="s">
        <v>1256</v>
      </c>
      <c r="U226" s="11">
        <f t="shared" si="10"/>
        <v>0</v>
      </c>
      <c r="V226" s="8" t="s">
        <v>1275</v>
      </c>
      <c r="W226" s="8" t="s">
        <v>1276</v>
      </c>
      <c r="X226" s="8" t="s">
        <v>1277</v>
      </c>
      <c r="Y226" s="8" t="s">
        <v>1275</v>
      </c>
      <c r="Z226" s="8" t="s">
        <v>1312</v>
      </c>
      <c r="AA226" s="12" t="str">
        <f t="shared" si="11"/>
        <v>INS-CTRL-DRF-INS-REP</v>
      </c>
    </row>
    <row r="227" spans="1:27" ht="20" customHeight="1" x14ac:dyDescent="0.35">
      <c r="A227" s="6" t="s">
        <v>1250</v>
      </c>
      <c r="B227" s="6" t="s">
        <v>1085</v>
      </c>
      <c r="C227" s="13">
        <v>45476</v>
      </c>
      <c r="D227" s="6" t="s">
        <v>918</v>
      </c>
      <c r="E227" s="6" t="s">
        <v>47</v>
      </c>
      <c r="F227" s="6" t="s">
        <v>1404</v>
      </c>
      <c r="G227" s="7" t="s">
        <v>82</v>
      </c>
      <c r="H227" s="7" t="s">
        <v>1311</v>
      </c>
      <c r="I227" s="8" t="s">
        <v>1292</v>
      </c>
      <c r="J227" s="8" t="s">
        <v>1293</v>
      </c>
      <c r="K227" s="9">
        <v>45476.390277777777</v>
      </c>
      <c r="L227" s="9">
        <v>45476.400694444441</v>
      </c>
      <c r="M227" s="9">
        <v>45476.421527777777</v>
      </c>
      <c r="N227" s="9">
        <v>45476.501388888893</v>
      </c>
      <c r="O227" s="10">
        <f t="shared" si="9"/>
        <v>1.9166666668024845</v>
      </c>
      <c r="P227" s="8">
        <v>0</v>
      </c>
      <c r="Q227" s="8" t="s">
        <v>1263</v>
      </c>
      <c r="R227" s="6" t="s">
        <v>1294</v>
      </c>
      <c r="S227" s="7" t="s">
        <v>1295</v>
      </c>
      <c r="T227" s="8" t="s">
        <v>1256</v>
      </c>
      <c r="U227" s="11">
        <f t="shared" si="10"/>
        <v>0</v>
      </c>
      <c r="V227" s="8" t="s">
        <v>1296</v>
      </c>
      <c r="W227" s="8" t="s">
        <v>1296</v>
      </c>
      <c r="X227" s="8" t="s">
        <v>1296</v>
      </c>
      <c r="Y227" s="8" t="s">
        <v>1296</v>
      </c>
      <c r="Z227" s="8" t="s">
        <v>1312</v>
      </c>
      <c r="AA227" s="12" t="str">
        <f t="shared" si="11"/>
        <v>UNK-UNK-UNK-UNK-REP</v>
      </c>
    </row>
    <row r="228" spans="1:27" ht="20" customHeight="1" x14ac:dyDescent="0.35">
      <c r="A228" s="6" t="s">
        <v>1250</v>
      </c>
      <c r="B228" s="6" t="s">
        <v>1088</v>
      </c>
      <c r="C228" s="13">
        <v>45120</v>
      </c>
      <c r="D228" s="6" t="s">
        <v>576</v>
      </c>
      <c r="E228" s="6" t="s">
        <v>60</v>
      </c>
      <c r="F228" s="6" t="s">
        <v>33</v>
      </c>
      <c r="G228" s="7" t="s">
        <v>82</v>
      </c>
      <c r="H228" s="7" t="s">
        <v>1311</v>
      </c>
      <c r="I228" s="8" t="s">
        <v>1292</v>
      </c>
      <c r="J228" s="8" t="s">
        <v>1293</v>
      </c>
      <c r="K228" s="9">
        <v>45120.313888888893</v>
      </c>
      <c r="L228" s="9">
        <v>45120.324305555558</v>
      </c>
      <c r="M228" s="9">
        <v>45120.345138888893</v>
      </c>
      <c r="N228" s="9">
        <v>45120.581250000003</v>
      </c>
      <c r="O228" s="10">
        <f t="shared" si="9"/>
        <v>5.6666666666278616</v>
      </c>
      <c r="P228" s="8">
        <v>0</v>
      </c>
      <c r="Q228" s="8" t="s">
        <v>1263</v>
      </c>
      <c r="R228" s="6" t="s">
        <v>1294</v>
      </c>
      <c r="S228" s="7" t="s">
        <v>1295</v>
      </c>
      <c r="T228" s="8" t="s">
        <v>1256</v>
      </c>
      <c r="U228" s="11">
        <f t="shared" si="10"/>
        <v>0</v>
      </c>
      <c r="V228" s="8" t="s">
        <v>1296</v>
      </c>
      <c r="W228" s="8" t="s">
        <v>1296</v>
      </c>
      <c r="X228" s="8" t="s">
        <v>1296</v>
      </c>
      <c r="Y228" s="8" t="s">
        <v>1296</v>
      </c>
      <c r="Z228" s="8" t="s">
        <v>1312</v>
      </c>
      <c r="AA228" s="12" t="str">
        <f t="shared" si="11"/>
        <v>UNK-UNK-UNK-UNK-REP</v>
      </c>
    </row>
    <row r="229" spans="1:27" ht="20" customHeight="1" x14ac:dyDescent="0.35">
      <c r="A229" s="6" t="s">
        <v>1250</v>
      </c>
      <c r="B229" s="6" t="s">
        <v>1092</v>
      </c>
      <c r="C229" s="13">
        <v>45173</v>
      </c>
      <c r="D229" s="6" t="s">
        <v>1368</v>
      </c>
      <c r="E229" s="6" t="s">
        <v>21</v>
      </c>
      <c r="F229" s="6" t="s">
        <v>20</v>
      </c>
      <c r="G229" s="7" t="s">
        <v>70</v>
      </c>
      <c r="H229" s="7" t="s">
        <v>1308</v>
      </c>
      <c r="I229" s="8" t="s">
        <v>1252</v>
      </c>
      <c r="J229" s="8" t="s">
        <v>1252</v>
      </c>
      <c r="K229" s="9">
        <v>45173.147222222222</v>
      </c>
      <c r="L229" s="9">
        <v>45173.157638888893</v>
      </c>
      <c r="M229" s="9">
        <v>45173.178472222222</v>
      </c>
      <c r="N229" s="9">
        <v>45173.501388888893</v>
      </c>
      <c r="O229" s="10">
        <f t="shared" si="9"/>
        <v>7.7500000001164153</v>
      </c>
      <c r="P229" s="8">
        <v>0</v>
      </c>
      <c r="Q229" s="8" t="s">
        <v>1263</v>
      </c>
      <c r="R229" s="6" t="s">
        <v>1299</v>
      </c>
      <c r="S229" s="7" t="s">
        <v>1300</v>
      </c>
      <c r="T229" s="8" t="s">
        <v>1256</v>
      </c>
      <c r="U229" s="11">
        <f t="shared" si="10"/>
        <v>1</v>
      </c>
      <c r="V229" s="8" t="s">
        <v>1301</v>
      </c>
      <c r="W229" s="8" t="s">
        <v>1258</v>
      </c>
      <c r="X229" s="8" t="s">
        <v>1302</v>
      </c>
      <c r="Y229" s="8" t="s">
        <v>1260</v>
      </c>
      <c r="Z229" s="8" t="s">
        <v>1270</v>
      </c>
      <c r="AA229" s="12" t="str">
        <f t="shared" si="11"/>
        <v>BRG-DE-VIB-MEC-RPL</v>
      </c>
    </row>
    <row r="230" spans="1:27" ht="20" customHeight="1" x14ac:dyDescent="0.35">
      <c r="A230" s="6" t="s">
        <v>1250</v>
      </c>
      <c r="B230" s="6" t="s">
        <v>1096</v>
      </c>
      <c r="C230" s="13">
        <v>45043</v>
      </c>
      <c r="D230" s="6" t="s">
        <v>892</v>
      </c>
      <c r="E230" s="6" t="s">
        <v>207</v>
      </c>
      <c r="F230" s="6" t="s">
        <v>144</v>
      </c>
      <c r="G230" s="7" t="s">
        <v>70</v>
      </c>
      <c r="H230" s="7" t="s">
        <v>1308</v>
      </c>
      <c r="I230" s="8" t="s">
        <v>1252</v>
      </c>
      <c r="J230" s="8" t="s">
        <v>1252</v>
      </c>
      <c r="K230" s="9">
        <v>45043.018055555563</v>
      </c>
      <c r="L230" s="9">
        <v>45043.02847222222</v>
      </c>
      <c r="M230" s="9">
        <v>45043.049305555563</v>
      </c>
      <c r="N230" s="9">
        <v>45043.143055555563</v>
      </c>
      <c r="O230" s="10">
        <f t="shared" si="9"/>
        <v>2.25</v>
      </c>
      <c r="P230" s="8">
        <v>0</v>
      </c>
      <c r="Q230" s="8" t="s">
        <v>1253</v>
      </c>
      <c r="R230" s="6" t="s">
        <v>1299</v>
      </c>
      <c r="S230" s="7" t="s">
        <v>1300</v>
      </c>
      <c r="T230" s="8" t="s">
        <v>1266</v>
      </c>
      <c r="U230" s="11">
        <f t="shared" si="10"/>
        <v>1</v>
      </c>
      <c r="V230" s="8" t="s">
        <v>1301</v>
      </c>
      <c r="W230" s="8" t="s">
        <v>1258</v>
      </c>
      <c r="X230" s="8" t="s">
        <v>1302</v>
      </c>
      <c r="Y230" s="8" t="s">
        <v>1260</v>
      </c>
      <c r="Z230" s="8" t="s">
        <v>1270</v>
      </c>
      <c r="AA230" s="12" t="str">
        <f t="shared" si="11"/>
        <v>BRG-DE-VIB-MEC-RPL</v>
      </c>
    </row>
    <row r="231" spans="1:27" ht="20" customHeight="1" x14ac:dyDescent="0.35">
      <c r="A231" s="6" t="s">
        <v>1250</v>
      </c>
      <c r="B231" s="6" t="s">
        <v>1100</v>
      </c>
      <c r="C231" s="13">
        <v>45338</v>
      </c>
      <c r="D231" s="6" t="s">
        <v>570</v>
      </c>
      <c r="E231" s="6" t="s">
        <v>21</v>
      </c>
      <c r="F231" s="6" t="s">
        <v>33</v>
      </c>
      <c r="G231" s="7" t="s">
        <v>116</v>
      </c>
      <c r="H231" s="7" t="s">
        <v>1324</v>
      </c>
      <c r="I231" s="8" t="s">
        <v>1292</v>
      </c>
      <c r="J231" s="8" t="s">
        <v>1293</v>
      </c>
      <c r="K231" s="9">
        <v>45338.913888888892</v>
      </c>
      <c r="L231" s="9">
        <v>45338.924305555563</v>
      </c>
      <c r="M231" s="9">
        <v>45338.945138888892</v>
      </c>
      <c r="N231" s="9">
        <v>45339.009722222218</v>
      </c>
      <c r="O231" s="10">
        <f t="shared" si="9"/>
        <v>1.5499999998137355</v>
      </c>
      <c r="P231" s="8">
        <v>0</v>
      </c>
      <c r="Q231" s="8" t="s">
        <v>1253</v>
      </c>
      <c r="R231" s="6" t="s">
        <v>1294</v>
      </c>
      <c r="S231" s="7" t="s">
        <v>1295</v>
      </c>
      <c r="T231" s="8" t="s">
        <v>1256</v>
      </c>
      <c r="U231" s="11">
        <f t="shared" si="10"/>
        <v>0</v>
      </c>
      <c r="V231" s="8" t="s">
        <v>1288</v>
      </c>
      <c r="W231" s="8" t="s">
        <v>1276</v>
      </c>
      <c r="X231" s="8" t="s">
        <v>1289</v>
      </c>
      <c r="Y231" s="8" t="s">
        <v>1290</v>
      </c>
      <c r="Z231" s="8" t="s">
        <v>1312</v>
      </c>
      <c r="AA231" s="12" t="str">
        <f t="shared" si="11"/>
        <v>ACT-CTRL-STK-CTL-REP</v>
      </c>
    </row>
    <row r="232" spans="1:27" ht="20" customHeight="1" x14ac:dyDescent="0.35">
      <c r="A232" s="6" t="s">
        <v>1250</v>
      </c>
      <c r="B232" s="6" t="s">
        <v>1104</v>
      </c>
      <c r="C232" s="13">
        <v>45921</v>
      </c>
      <c r="D232" s="6" t="s">
        <v>1396</v>
      </c>
      <c r="E232" s="6" t="s">
        <v>60</v>
      </c>
      <c r="F232" s="6" t="s">
        <v>1408</v>
      </c>
      <c r="G232" s="7" t="s">
        <v>276</v>
      </c>
      <c r="H232" s="7" t="s">
        <v>1338</v>
      </c>
      <c r="I232" s="8" t="s">
        <v>1252</v>
      </c>
      <c r="J232" s="8" t="s">
        <v>1252</v>
      </c>
      <c r="K232" s="9">
        <v>45921.714583333327</v>
      </c>
      <c r="L232" s="9">
        <v>45921.724999999999</v>
      </c>
      <c r="M232" s="9">
        <v>45921.745833333327</v>
      </c>
      <c r="N232" s="9">
        <v>45922.313194444447</v>
      </c>
      <c r="O232" s="10">
        <f t="shared" si="9"/>
        <v>13.616666666872334</v>
      </c>
      <c r="P232" s="8">
        <v>0</v>
      </c>
      <c r="Q232" s="8" t="s">
        <v>1263</v>
      </c>
      <c r="R232" s="6" t="s">
        <v>1299</v>
      </c>
      <c r="S232" s="7" t="s">
        <v>1300</v>
      </c>
      <c r="T232" s="8" t="s">
        <v>1256</v>
      </c>
      <c r="U232" s="11">
        <f t="shared" si="10"/>
        <v>1</v>
      </c>
      <c r="V232" s="8" t="s">
        <v>1301</v>
      </c>
      <c r="W232" s="8" t="s">
        <v>1258</v>
      </c>
      <c r="X232" s="8" t="s">
        <v>1302</v>
      </c>
      <c r="Y232" s="8" t="s">
        <v>1260</v>
      </c>
      <c r="Z232" s="8" t="s">
        <v>1261</v>
      </c>
      <c r="AA232" s="12" t="str">
        <f t="shared" si="11"/>
        <v>BRG-DE-VIB-MEC-INSP</v>
      </c>
    </row>
    <row r="233" spans="1:27" ht="20" customHeight="1" x14ac:dyDescent="0.35">
      <c r="A233" s="6" t="s">
        <v>1250</v>
      </c>
      <c r="B233" s="6" t="s">
        <v>1108</v>
      </c>
      <c r="C233" s="13">
        <v>45729</v>
      </c>
      <c r="D233" s="6" t="s">
        <v>552</v>
      </c>
      <c r="E233" s="6" t="s">
        <v>60</v>
      </c>
      <c r="F233" s="6" t="s">
        <v>1408</v>
      </c>
      <c r="G233" s="7" t="s">
        <v>313</v>
      </c>
      <c r="H233" s="7" t="s">
        <v>1342</v>
      </c>
      <c r="I233" s="8" t="s">
        <v>1252</v>
      </c>
      <c r="J233" s="8" t="s">
        <v>1252</v>
      </c>
      <c r="K233" s="9">
        <v>45729.404166666667</v>
      </c>
      <c r="L233" s="9">
        <v>45729.414583333331</v>
      </c>
      <c r="M233" s="9">
        <v>45729.435416666667</v>
      </c>
      <c r="N233" s="9">
        <v>45729.900694444441</v>
      </c>
      <c r="O233" s="10">
        <f t="shared" si="9"/>
        <v>11.166666666569654</v>
      </c>
      <c r="P233" s="8">
        <v>0</v>
      </c>
      <c r="Q233" s="8" t="s">
        <v>1253</v>
      </c>
      <c r="R233" s="6" t="s">
        <v>1280</v>
      </c>
      <c r="S233" s="7" t="s">
        <v>1281</v>
      </c>
      <c r="T233" s="8" t="s">
        <v>1256</v>
      </c>
      <c r="U233" s="11">
        <f t="shared" si="10"/>
        <v>1</v>
      </c>
      <c r="V233" s="8" t="s">
        <v>1282</v>
      </c>
      <c r="W233" s="8" t="s">
        <v>1276</v>
      </c>
      <c r="X233" s="8" t="s">
        <v>1269</v>
      </c>
      <c r="Y233" s="8" t="s">
        <v>1275</v>
      </c>
      <c r="Z233" s="8" t="s">
        <v>1326</v>
      </c>
      <c r="AA233" s="12" t="str">
        <f t="shared" si="11"/>
        <v>IMP-CTRL-BLK-INS-CLN</v>
      </c>
    </row>
    <row r="234" spans="1:27" ht="20" customHeight="1" x14ac:dyDescent="0.35">
      <c r="A234" s="6" t="s">
        <v>1250</v>
      </c>
      <c r="B234" s="6" t="s">
        <v>1112</v>
      </c>
      <c r="C234" s="13">
        <v>45610</v>
      </c>
      <c r="D234" s="6" t="s">
        <v>1397</v>
      </c>
      <c r="E234" s="6" t="s">
        <v>14</v>
      </c>
      <c r="F234" s="6" t="s">
        <v>1406</v>
      </c>
      <c r="G234" s="7" t="s">
        <v>111</v>
      </c>
      <c r="H234" s="7" t="s">
        <v>1319</v>
      </c>
      <c r="I234" s="8" t="s">
        <v>1252</v>
      </c>
      <c r="J234" s="8" t="s">
        <v>1252</v>
      </c>
      <c r="K234" s="9">
        <v>45610.879166666673</v>
      </c>
      <c r="L234" s="9">
        <v>45610.88958333333</v>
      </c>
      <c r="M234" s="9">
        <v>45610.910416666673</v>
      </c>
      <c r="N234" s="9">
        <v>45611.286805555559</v>
      </c>
      <c r="O234" s="10">
        <f t="shared" si="9"/>
        <v>9.0333333332673647</v>
      </c>
      <c r="P234" s="8">
        <v>0</v>
      </c>
      <c r="Q234" s="8" t="s">
        <v>1253</v>
      </c>
      <c r="R234" s="6" t="s">
        <v>1320</v>
      </c>
      <c r="S234" s="7" t="s">
        <v>1321</v>
      </c>
      <c r="T234" s="8" t="s">
        <v>1256</v>
      </c>
      <c r="U234" s="11">
        <f t="shared" si="10"/>
        <v>1</v>
      </c>
      <c r="V234" s="8" t="s">
        <v>1322</v>
      </c>
      <c r="W234" s="8" t="s">
        <v>1258</v>
      </c>
      <c r="X234" s="8" t="s">
        <v>1323</v>
      </c>
      <c r="Y234" s="8" t="s">
        <v>1260</v>
      </c>
      <c r="Z234" s="8" t="s">
        <v>1261</v>
      </c>
      <c r="AA234" s="12" t="str">
        <f t="shared" si="11"/>
        <v>SEA-DE-LEK-MEC-INSP</v>
      </c>
    </row>
    <row r="235" spans="1:27" ht="20" customHeight="1" x14ac:dyDescent="0.35">
      <c r="A235" s="6" t="s">
        <v>1250</v>
      </c>
      <c r="B235" s="6" t="s">
        <v>1116</v>
      </c>
      <c r="C235" s="13">
        <v>45058</v>
      </c>
      <c r="D235" s="6" t="s">
        <v>17</v>
      </c>
      <c r="E235" s="6" t="s">
        <v>21</v>
      </c>
      <c r="F235" s="6" t="s">
        <v>1404</v>
      </c>
      <c r="G235" s="7" t="s">
        <v>121</v>
      </c>
      <c r="H235" s="7" t="s">
        <v>1325</v>
      </c>
      <c r="I235" s="8" t="s">
        <v>1292</v>
      </c>
      <c r="J235" s="8" t="s">
        <v>1293</v>
      </c>
      <c r="K235" s="9">
        <v>45058.541666666657</v>
      </c>
      <c r="L235" s="9">
        <v>45058.552083333343</v>
      </c>
      <c r="M235" s="9">
        <v>45058.572916666657</v>
      </c>
      <c r="N235" s="9">
        <v>45058.560416666667</v>
      </c>
      <c r="O235" s="10">
        <f t="shared" si="9"/>
        <v>-0.29999999975552782</v>
      </c>
      <c r="P235" s="8">
        <v>0</v>
      </c>
      <c r="Q235" s="8" t="s">
        <v>1263</v>
      </c>
      <c r="R235" s="6" t="s">
        <v>1294</v>
      </c>
      <c r="S235" s="7" t="s">
        <v>1295</v>
      </c>
      <c r="T235" s="8" t="s">
        <v>1256</v>
      </c>
      <c r="U235" s="11">
        <f t="shared" si="10"/>
        <v>0</v>
      </c>
      <c r="V235" s="8" t="s">
        <v>1275</v>
      </c>
      <c r="W235" s="8" t="s">
        <v>1276</v>
      </c>
      <c r="X235" s="8" t="s">
        <v>1277</v>
      </c>
      <c r="Y235" s="8" t="s">
        <v>1275</v>
      </c>
      <c r="Z235" s="8" t="s">
        <v>1261</v>
      </c>
      <c r="AA235" s="12" t="str">
        <f t="shared" si="11"/>
        <v>INS-CTRL-DRF-INS-INSP</v>
      </c>
    </row>
    <row r="236" spans="1:27" ht="20" customHeight="1" x14ac:dyDescent="0.35">
      <c r="A236" s="6" t="s">
        <v>1250</v>
      </c>
      <c r="B236" s="6" t="s">
        <v>1120</v>
      </c>
      <c r="C236" s="13">
        <v>45322</v>
      </c>
      <c r="D236" s="6" t="s">
        <v>576</v>
      </c>
      <c r="E236" s="6" t="s">
        <v>60</v>
      </c>
      <c r="F236" s="6" t="s">
        <v>1406</v>
      </c>
      <c r="G236" s="7" t="s">
        <v>38</v>
      </c>
      <c r="H236" s="7" t="s">
        <v>1283</v>
      </c>
      <c r="I236" s="8" t="s">
        <v>1284</v>
      </c>
      <c r="J236" s="8" t="s">
        <v>1285</v>
      </c>
      <c r="K236" s="9">
        <v>45322.311805555553</v>
      </c>
      <c r="L236" s="9">
        <v>45322.311805555553</v>
      </c>
      <c r="M236" s="9">
        <v>45322.311805555553</v>
      </c>
      <c r="N236" s="9">
        <v>45322.374305555553</v>
      </c>
      <c r="O236" s="10">
        <f t="shared" si="9"/>
        <v>1.5</v>
      </c>
      <c r="P236" s="8">
        <v>1</v>
      </c>
      <c r="Q236" s="8" t="s">
        <v>1263</v>
      </c>
      <c r="R236" s="6" t="s">
        <v>1286</v>
      </c>
      <c r="S236" s="7" t="s">
        <v>1287</v>
      </c>
      <c r="T236" s="8" t="s">
        <v>1266</v>
      </c>
      <c r="U236" s="11">
        <f t="shared" si="10"/>
        <v>0</v>
      </c>
      <c r="V236" s="8" t="s">
        <v>1296</v>
      </c>
      <c r="W236" s="8" t="s">
        <v>1296</v>
      </c>
      <c r="X236" s="8" t="s">
        <v>1296</v>
      </c>
      <c r="Y236" s="8" t="s">
        <v>1296</v>
      </c>
      <c r="Z236" s="8" t="s">
        <v>1261</v>
      </c>
      <c r="AA236" s="12" t="str">
        <f t="shared" si="11"/>
        <v>UNK-UNK-UNK-UNK-INSP</v>
      </c>
    </row>
    <row r="237" spans="1:27" ht="20" customHeight="1" x14ac:dyDescent="0.35">
      <c r="A237" s="6" t="s">
        <v>1250</v>
      </c>
      <c r="B237" s="6" t="s">
        <v>1123</v>
      </c>
      <c r="C237" s="13">
        <v>45058</v>
      </c>
      <c r="D237" s="6" t="s">
        <v>323</v>
      </c>
      <c r="E237" s="6" t="s">
        <v>14</v>
      </c>
      <c r="F237" s="6" t="s">
        <v>1408</v>
      </c>
      <c r="G237" s="7" t="s">
        <v>82</v>
      </c>
      <c r="H237" s="7" t="s">
        <v>1311</v>
      </c>
      <c r="I237" s="8" t="s">
        <v>1292</v>
      </c>
      <c r="J237" s="8" t="s">
        <v>1293</v>
      </c>
      <c r="K237" s="9">
        <v>45058.55972222222</v>
      </c>
      <c r="L237" s="9">
        <v>45058.570138888892</v>
      </c>
      <c r="M237" s="9">
        <v>45058.59097222222</v>
      </c>
      <c r="N237" s="9">
        <v>45058.648611111108</v>
      </c>
      <c r="O237" s="10">
        <f t="shared" si="9"/>
        <v>1.3833333333022892</v>
      </c>
      <c r="P237" s="8">
        <v>0</v>
      </c>
      <c r="Q237" s="8" t="s">
        <v>1263</v>
      </c>
      <c r="R237" s="6" t="s">
        <v>1294</v>
      </c>
      <c r="S237" s="7" t="s">
        <v>1295</v>
      </c>
      <c r="T237" s="8" t="s">
        <v>1256</v>
      </c>
      <c r="U237" s="11">
        <f t="shared" si="10"/>
        <v>0</v>
      </c>
      <c r="V237" s="8" t="s">
        <v>1275</v>
      </c>
      <c r="W237" s="8" t="s">
        <v>1276</v>
      </c>
      <c r="X237" s="8" t="s">
        <v>1277</v>
      </c>
      <c r="Y237" s="8" t="s">
        <v>1275</v>
      </c>
      <c r="Z237" s="8" t="s">
        <v>1312</v>
      </c>
      <c r="AA237" s="12" t="str">
        <f t="shared" si="11"/>
        <v>INS-CTRL-DRF-INS-REP</v>
      </c>
    </row>
    <row r="238" spans="1:27" ht="20" customHeight="1" x14ac:dyDescent="0.35">
      <c r="A238" s="6" t="s">
        <v>1250</v>
      </c>
      <c r="B238" s="6" t="s">
        <v>1127</v>
      </c>
      <c r="C238" s="13">
        <v>45025</v>
      </c>
      <c r="D238" s="6" t="s">
        <v>899</v>
      </c>
      <c r="E238" s="6" t="s">
        <v>41</v>
      </c>
      <c r="F238" s="6" t="s">
        <v>1406</v>
      </c>
      <c r="G238" s="7" t="s">
        <v>436</v>
      </c>
      <c r="H238" s="7" t="s">
        <v>1363</v>
      </c>
      <c r="I238" s="8" t="s">
        <v>1272</v>
      </c>
      <c r="J238" s="8" t="s">
        <v>1252</v>
      </c>
      <c r="K238" s="9">
        <v>45025.765277777777</v>
      </c>
      <c r="L238" s="9">
        <v>45025.775694444441</v>
      </c>
      <c r="M238" s="9">
        <v>45025.796527777777</v>
      </c>
      <c r="N238" s="9">
        <v>45026.044444444437</v>
      </c>
      <c r="O238" s="10">
        <f t="shared" si="9"/>
        <v>5.9499999998370185</v>
      </c>
      <c r="P238" s="8">
        <v>0</v>
      </c>
      <c r="Q238" s="8" t="s">
        <v>1263</v>
      </c>
      <c r="R238" s="6" t="s">
        <v>1299</v>
      </c>
      <c r="S238" s="7" t="s">
        <v>1300</v>
      </c>
      <c r="T238" s="8" t="s">
        <v>1256</v>
      </c>
      <c r="U238" s="11">
        <f t="shared" si="10"/>
        <v>1</v>
      </c>
      <c r="V238" s="8" t="s">
        <v>1301</v>
      </c>
      <c r="W238" s="8" t="s">
        <v>1258</v>
      </c>
      <c r="X238" s="8" t="s">
        <v>1302</v>
      </c>
      <c r="Y238" s="8" t="s">
        <v>1260</v>
      </c>
      <c r="Z238" s="8" t="s">
        <v>1278</v>
      </c>
      <c r="AA238" s="12" t="str">
        <f t="shared" si="11"/>
        <v>BRG-DE-VIB-MEC-RST</v>
      </c>
    </row>
    <row r="239" spans="1:27" ht="20" customHeight="1" x14ac:dyDescent="0.35">
      <c r="A239" s="6" t="s">
        <v>1250</v>
      </c>
      <c r="B239" s="6" t="s">
        <v>1131</v>
      </c>
      <c r="C239" s="13">
        <v>45097</v>
      </c>
      <c r="D239" s="6" t="s">
        <v>628</v>
      </c>
      <c r="E239" s="6" t="s">
        <v>47</v>
      </c>
      <c r="F239" s="6" t="s">
        <v>1406</v>
      </c>
      <c r="G239" s="7" t="s">
        <v>1132</v>
      </c>
      <c r="H239" s="7" t="s">
        <v>1398</v>
      </c>
      <c r="I239" s="8" t="s">
        <v>1272</v>
      </c>
      <c r="J239" s="8" t="s">
        <v>1252</v>
      </c>
      <c r="K239" s="9">
        <v>45097.415972222218</v>
      </c>
      <c r="L239" s="9">
        <v>45097.426388888889</v>
      </c>
      <c r="M239" s="9">
        <v>45097.447222222218</v>
      </c>
      <c r="N239" s="9">
        <v>45097.597916666673</v>
      </c>
      <c r="O239" s="10">
        <f t="shared" si="9"/>
        <v>3.6166666669305414</v>
      </c>
      <c r="P239" s="8">
        <v>0</v>
      </c>
      <c r="Q239" s="8" t="s">
        <v>1263</v>
      </c>
      <c r="R239" s="6" t="s">
        <v>1273</v>
      </c>
      <c r="S239" s="7" t="s">
        <v>1274</v>
      </c>
      <c r="T239" s="8" t="s">
        <v>1256</v>
      </c>
      <c r="U239" s="11">
        <f t="shared" si="10"/>
        <v>1</v>
      </c>
      <c r="V239" s="8" t="s">
        <v>1305</v>
      </c>
      <c r="W239" s="8" t="s">
        <v>1276</v>
      </c>
      <c r="X239" s="8" t="s">
        <v>1306</v>
      </c>
      <c r="Y239" s="8" t="s">
        <v>1290</v>
      </c>
      <c r="Z239" s="8" t="s">
        <v>1278</v>
      </c>
      <c r="AA239" s="12" t="str">
        <f t="shared" si="11"/>
        <v>SYS-CTRL-TRP-CTL-RST</v>
      </c>
    </row>
    <row r="240" spans="1:27" ht="20" customHeight="1" x14ac:dyDescent="0.35">
      <c r="A240" s="6" t="s">
        <v>1250</v>
      </c>
      <c r="B240" s="6" t="s">
        <v>1135</v>
      </c>
      <c r="C240" s="13">
        <v>45701</v>
      </c>
      <c r="D240" s="6" t="s">
        <v>865</v>
      </c>
      <c r="E240" s="6" t="s">
        <v>47</v>
      </c>
      <c r="F240" s="6" t="s">
        <v>1405</v>
      </c>
      <c r="G240" s="7" t="s">
        <v>692</v>
      </c>
      <c r="H240" s="7" t="s">
        <v>1380</v>
      </c>
      <c r="I240" s="8" t="s">
        <v>1272</v>
      </c>
      <c r="J240" s="8" t="s">
        <v>1252</v>
      </c>
      <c r="K240" s="9">
        <v>45701.232638888891</v>
      </c>
      <c r="L240" s="9">
        <v>45701.243055555547</v>
      </c>
      <c r="M240" s="9">
        <v>45701.263888888891</v>
      </c>
      <c r="N240" s="9">
        <v>45701.439583333333</v>
      </c>
      <c r="O240" s="10">
        <f t="shared" si="9"/>
        <v>4.21666666661622</v>
      </c>
      <c r="P240" s="8">
        <v>0</v>
      </c>
      <c r="Q240" s="8" t="s">
        <v>1263</v>
      </c>
      <c r="R240" s="6" t="s">
        <v>1273</v>
      </c>
      <c r="S240" s="7" t="s">
        <v>1274</v>
      </c>
      <c r="T240" s="8" t="s">
        <v>1256</v>
      </c>
      <c r="U240" s="11">
        <f t="shared" si="10"/>
        <v>1</v>
      </c>
      <c r="V240" s="8" t="s">
        <v>1305</v>
      </c>
      <c r="W240" s="8" t="s">
        <v>1276</v>
      </c>
      <c r="X240" s="8" t="s">
        <v>1306</v>
      </c>
      <c r="Y240" s="8" t="s">
        <v>1290</v>
      </c>
      <c r="Z240" s="8" t="s">
        <v>1278</v>
      </c>
      <c r="AA240" s="12" t="str">
        <f t="shared" si="11"/>
        <v>SYS-CTRL-TRP-CTL-RST</v>
      </c>
    </row>
    <row r="241" spans="1:27" ht="20" customHeight="1" x14ac:dyDescent="0.35">
      <c r="A241" s="6" t="s">
        <v>1250</v>
      </c>
      <c r="B241" s="6" t="s">
        <v>1139</v>
      </c>
      <c r="C241" s="13">
        <v>45937</v>
      </c>
      <c r="D241" s="6" t="s">
        <v>865</v>
      </c>
      <c r="E241" s="6" t="s">
        <v>47</v>
      </c>
      <c r="F241" s="6" t="s">
        <v>1406</v>
      </c>
      <c r="G241" s="7" t="s">
        <v>116</v>
      </c>
      <c r="H241" s="7" t="s">
        <v>1324</v>
      </c>
      <c r="I241" s="8" t="s">
        <v>1292</v>
      </c>
      <c r="J241" s="8" t="s">
        <v>1293</v>
      </c>
      <c r="K241" s="9">
        <v>45937.729861111111</v>
      </c>
      <c r="L241" s="9">
        <v>45937.740277777782</v>
      </c>
      <c r="M241" s="9">
        <v>45937.761111111111</v>
      </c>
      <c r="N241" s="9">
        <v>45937.916666666657</v>
      </c>
      <c r="O241" s="10">
        <f t="shared" si="9"/>
        <v>3.7333333331043832</v>
      </c>
      <c r="P241" s="8">
        <v>0</v>
      </c>
      <c r="Q241" s="8" t="s">
        <v>1263</v>
      </c>
      <c r="R241" s="6" t="s">
        <v>1294</v>
      </c>
      <c r="S241" s="7" t="s">
        <v>1295</v>
      </c>
      <c r="T241" s="8" t="s">
        <v>1256</v>
      </c>
      <c r="U241" s="11">
        <f t="shared" si="10"/>
        <v>0</v>
      </c>
      <c r="V241" s="8" t="s">
        <v>1296</v>
      </c>
      <c r="W241" s="8" t="s">
        <v>1296</v>
      </c>
      <c r="X241" s="8" t="s">
        <v>1296</v>
      </c>
      <c r="Y241" s="8" t="s">
        <v>1296</v>
      </c>
      <c r="Z241" s="8" t="s">
        <v>1312</v>
      </c>
      <c r="AA241" s="12" t="str">
        <f t="shared" si="11"/>
        <v>UNK-UNK-UNK-UNK-REP</v>
      </c>
    </row>
    <row r="242" spans="1:27" ht="20" customHeight="1" x14ac:dyDescent="0.35">
      <c r="A242" s="6" t="s">
        <v>1250</v>
      </c>
      <c r="B242" s="6" t="s">
        <v>1142</v>
      </c>
      <c r="C242" s="13">
        <v>45820</v>
      </c>
      <c r="D242" s="6" t="s">
        <v>716</v>
      </c>
      <c r="E242" s="6" t="s">
        <v>14</v>
      </c>
      <c r="F242" s="6" t="s">
        <v>1408</v>
      </c>
      <c r="G242" s="7" t="s">
        <v>924</v>
      </c>
      <c r="H242" s="7" t="s">
        <v>1391</v>
      </c>
      <c r="I242" s="8" t="s">
        <v>1272</v>
      </c>
      <c r="J242" s="8" t="s">
        <v>1252</v>
      </c>
      <c r="K242" s="9">
        <v>45820.510416666657</v>
      </c>
      <c r="L242" s="9">
        <v>45820.520833333343</v>
      </c>
      <c r="M242" s="9">
        <v>45820.541666666657</v>
      </c>
      <c r="N242" s="9">
        <v>45820.620833333327</v>
      </c>
      <c r="O242" s="10">
        <f t="shared" si="9"/>
        <v>1.9000000000814907</v>
      </c>
      <c r="P242" s="8">
        <v>0</v>
      </c>
      <c r="Q242" s="8" t="s">
        <v>1253</v>
      </c>
      <c r="R242" s="6" t="s">
        <v>1273</v>
      </c>
      <c r="S242" s="7" t="s">
        <v>1274</v>
      </c>
      <c r="T242" s="8" t="s">
        <v>1256</v>
      </c>
      <c r="U242" s="11">
        <f t="shared" si="10"/>
        <v>1</v>
      </c>
      <c r="V242" s="8" t="s">
        <v>1305</v>
      </c>
      <c r="W242" s="8" t="s">
        <v>1276</v>
      </c>
      <c r="X242" s="8" t="s">
        <v>1306</v>
      </c>
      <c r="Y242" s="8" t="s">
        <v>1290</v>
      </c>
      <c r="Z242" s="8" t="s">
        <v>1278</v>
      </c>
      <c r="AA242" s="12" t="str">
        <f t="shared" si="11"/>
        <v>SYS-CTRL-TRP-CTL-RST</v>
      </c>
    </row>
    <row r="243" spans="1:27" ht="20" customHeight="1" x14ac:dyDescent="0.35">
      <c r="A243" s="6" t="s">
        <v>1250</v>
      </c>
      <c r="B243" s="6" t="s">
        <v>1147</v>
      </c>
      <c r="C243" s="13">
        <v>45451</v>
      </c>
      <c r="D243" s="6" t="s">
        <v>716</v>
      </c>
      <c r="E243" s="6" t="s">
        <v>14</v>
      </c>
      <c r="F243" s="6" t="s">
        <v>1406</v>
      </c>
      <c r="G243" s="7" t="s">
        <v>1149</v>
      </c>
      <c r="H243" s="7" t="s">
        <v>1283</v>
      </c>
      <c r="I243" s="8" t="s">
        <v>1284</v>
      </c>
      <c r="J243" s="8" t="s">
        <v>1285</v>
      </c>
      <c r="K243" s="9">
        <v>45451.458333333343</v>
      </c>
      <c r="L243" s="9">
        <v>45451.458333333343</v>
      </c>
      <c r="M243" s="9">
        <v>45451.458333333343</v>
      </c>
      <c r="N243" s="9">
        <v>45451.520833333343</v>
      </c>
      <c r="O243" s="10">
        <f t="shared" si="9"/>
        <v>1.5</v>
      </c>
      <c r="P243" s="8">
        <v>1</v>
      </c>
      <c r="Q243" s="8" t="s">
        <v>1263</v>
      </c>
      <c r="R243" s="6" t="s">
        <v>1286</v>
      </c>
      <c r="S243" s="7" t="s">
        <v>1287</v>
      </c>
      <c r="T243" s="8" t="s">
        <v>1266</v>
      </c>
      <c r="U243" s="11">
        <f t="shared" si="10"/>
        <v>0</v>
      </c>
      <c r="V243" s="8" t="s">
        <v>1267</v>
      </c>
      <c r="W243" s="8" t="s">
        <v>1268</v>
      </c>
      <c r="X243" s="8" t="s">
        <v>1269</v>
      </c>
      <c r="Y243" s="8" t="s">
        <v>1260</v>
      </c>
      <c r="Z243" s="8" t="s">
        <v>1326</v>
      </c>
      <c r="AA243" s="12" t="str">
        <f t="shared" si="11"/>
        <v>FIL-SUC-BLK-MEC-CLN</v>
      </c>
    </row>
    <row r="244" spans="1:27" ht="20" customHeight="1" x14ac:dyDescent="0.35">
      <c r="A244" s="6" t="s">
        <v>1250</v>
      </c>
      <c r="B244" s="6" t="s">
        <v>1151</v>
      </c>
      <c r="C244" s="13">
        <v>44965</v>
      </c>
      <c r="D244" s="6" t="s">
        <v>929</v>
      </c>
      <c r="E244" s="6" t="s">
        <v>60</v>
      </c>
      <c r="F244" s="6" t="s">
        <v>1406</v>
      </c>
      <c r="G244" s="7" t="s">
        <v>82</v>
      </c>
      <c r="H244" s="7" t="s">
        <v>1311</v>
      </c>
      <c r="I244" s="8" t="s">
        <v>1292</v>
      </c>
      <c r="J244" s="8" t="s">
        <v>1293</v>
      </c>
      <c r="K244" s="9">
        <v>44965.879166666673</v>
      </c>
      <c r="L244" s="9">
        <v>44965.88958333333</v>
      </c>
      <c r="M244" s="9">
        <v>44965.910416666673</v>
      </c>
      <c r="N244" s="9">
        <v>44965.941666666673</v>
      </c>
      <c r="O244" s="10">
        <f t="shared" si="9"/>
        <v>0.75</v>
      </c>
      <c r="P244" s="8">
        <v>0</v>
      </c>
      <c r="Q244" s="8" t="s">
        <v>1253</v>
      </c>
      <c r="R244" s="6" t="s">
        <v>1294</v>
      </c>
      <c r="S244" s="7" t="s">
        <v>1295</v>
      </c>
      <c r="T244" s="8" t="s">
        <v>1266</v>
      </c>
      <c r="U244" s="11">
        <f t="shared" si="10"/>
        <v>0</v>
      </c>
      <c r="V244" s="8" t="s">
        <v>1296</v>
      </c>
      <c r="W244" s="8" t="s">
        <v>1296</v>
      </c>
      <c r="X244" s="8" t="s">
        <v>1296</v>
      </c>
      <c r="Y244" s="8" t="s">
        <v>1296</v>
      </c>
      <c r="Z244" s="8" t="s">
        <v>1312</v>
      </c>
      <c r="AA244" s="12" t="str">
        <f t="shared" si="11"/>
        <v>UNK-UNK-UNK-UNK-REP</v>
      </c>
    </row>
    <row r="245" spans="1:27" ht="20" customHeight="1" x14ac:dyDescent="0.35">
      <c r="A245" s="6" t="s">
        <v>1250</v>
      </c>
      <c r="B245" s="6" t="s">
        <v>1153</v>
      </c>
      <c r="C245" s="13">
        <v>45282</v>
      </c>
      <c r="D245" s="6" t="s">
        <v>29</v>
      </c>
      <c r="E245" s="6" t="s">
        <v>34</v>
      </c>
      <c r="F245" s="6" t="s">
        <v>1408</v>
      </c>
      <c r="G245" s="7" t="s">
        <v>453</v>
      </c>
      <c r="H245" s="7" t="s">
        <v>1364</v>
      </c>
      <c r="I245" s="8" t="s">
        <v>1252</v>
      </c>
      <c r="J245" s="8" t="s">
        <v>1252</v>
      </c>
      <c r="K245" s="9">
        <v>45282.804861111108</v>
      </c>
      <c r="L245" s="9">
        <v>45282.81527777778</v>
      </c>
      <c r="M245" s="9">
        <v>45282.836111111108</v>
      </c>
      <c r="N245" s="9">
        <v>45282.870138888888</v>
      </c>
      <c r="O245" s="10">
        <f t="shared" si="9"/>
        <v>0.81666666670935228</v>
      </c>
      <c r="P245" s="8">
        <v>0</v>
      </c>
      <c r="Q245" s="8" t="s">
        <v>1263</v>
      </c>
      <c r="R245" s="6" t="s">
        <v>1365</v>
      </c>
      <c r="S245" s="7" t="s">
        <v>1366</v>
      </c>
      <c r="T245" s="8" t="s">
        <v>1256</v>
      </c>
      <c r="U245" s="11">
        <f t="shared" si="10"/>
        <v>1</v>
      </c>
      <c r="V245" s="8" t="s">
        <v>1275</v>
      </c>
      <c r="W245" s="8" t="s">
        <v>1276</v>
      </c>
      <c r="X245" s="8" t="s">
        <v>1277</v>
      </c>
      <c r="Y245" s="8" t="s">
        <v>1275</v>
      </c>
      <c r="Z245" s="8" t="s">
        <v>1261</v>
      </c>
      <c r="AA245" s="12" t="str">
        <f t="shared" si="11"/>
        <v>INS-CTRL-DRF-INS-INSP</v>
      </c>
    </row>
    <row r="246" spans="1:27" ht="20" customHeight="1" x14ac:dyDescent="0.35">
      <c r="A246" s="6" t="s">
        <v>1250</v>
      </c>
      <c r="B246" s="6" t="s">
        <v>1157</v>
      </c>
      <c r="C246" s="13">
        <v>45110</v>
      </c>
      <c r="D246" s="6" t="s">
        <v>899</v>
      </c>
      <c r="E246" s="6" t="s">
        <v>41</v>
      </c>
      <c r="F246" s="6" t="s">
        <v>1407</v>
      </c>
      <c r="G246" s="7" t="s">
        <v>370</v>
      </c>
      <c r="H246" s="7" t="s">
        <v>1283</v>
      </c>
      <c r="I246" s="8" t="s">
        <v>1284</v>
      </c>
      <c r="J246" s="8" t="s">
        <v>1285</v>
      </c>
      <c r="K246" s="9">
        <v>45110.458333333343</v>
      </c>
      <c r="L246" s="9">
        <v>45110.458333333343</v>
      </c>
      <c r="M246" s="9">
        <v>45110.458333333343</v>
      </c>
      <c r="N246" s="9">
        <v>45110.470833333333</v>
      </c>
      <c r="O246" s="10">
        <f t="shared" si="9"/>
        <v>0.29999999975552782</v>
      </c>
      <c r="P246" s="8">
        <v>1</v>
      </c>
      <c r="Q246" s="8" t="s">
        <v>1263</v>
      </c>
      <c r="R246" s="6" t="s">
        <v>1286</v>
      </c>
      <c r="S246" s="7" t="s">
        <v>1287</v>
      </c>
      <c r="T246" s="8" t="s">
        <v>1256</v>
      </c>
      <c r="U246" s="11">
        <f t="shared" si="10"/>
        <v>0</v>
      </c>
      <c r="V246" s="8" t="s">
        <v>1296</v>
      </c>
      <c r="W246" s="8" t="s">
        <v>1296</v>
      </c>
      <c r="X246" s="8" t="s">
        <v>1296</v>
      </c>
      <c r="Y246" s="8" t="s">
        <v>1296</v>
      </c>
      <c r="Z246" s="8" t="s">
        <v>1284</v>
      </c>
      <c r="AA246" s="12" t="str">
        <f t="shared" si="11"/>
        <v>UNK-UNK-UNK-UNK-PM</v>
      </c>
    </row>
    <row r="247" spans="1:27" ht="20" customHeight="1" x14ac:dyDescent="0.35">
      <c r="A247" s="6" t="s">
        <v>1250</v>
      </c>
      <c r="B247" s="6" t="s">
        <v>1162</v>
      </c>
      <c r="C247" s="13">
        <v>45912</v>
      </c>
      <c r="D247" s="6" t="s">
        <v>37</v>
      </c>
      <c r="E247" s="6" t="s">
        <v>41</v>
      </c>
      <c r="F247" s="6" t="s">
        <v>1408</v>
      </c>
      <c r="G247" s="7" t="s">
        <v>1164</v>
      </c>
      <c r="H247" s="7" t="s">
        <v>1283</v>
      </c>
      <c r="I247" s="8" t="s">
        <v>1284</v>
      </c>
      <c r="J247" s="8" t="s">
        <v>1285</v>
      </c>
      <c r="K247" s="9">
        <v>45912.541666666657</v>
      </c>
      <c r="L247" s="9">
        <v>45912.541666666657</v>
      </c>
      <c r="M247" s="9">
        <v>45912.541666666657</v>
      </c>
      <c r="N247" s="9">
        <v>45912.588194444441</v>
      </c>
      <c r="O247" s="10">
        <f t="shared" si="9"/>
        <v>1.1166666668141261</v>
      </c>
      <c r="P247" s="8">
        <v>1</v>
      </c>
      <c r="Q247" s="8" t="s">
        <v>1263</v>
      </c>
      <c r="R247" s="6" t="s">
        <v>1286</v>
      </c>
      <c r="S247" s="7" t="s">
        <v>1287</v>
      </c>
      <c r="T247" s="8" t="s">
        <v>1256</v>
      </c>
      <c r="U247" s="11">
        <f t="shared" si="10"/>
        <v>0</v>
      </c>
      <c r="V247" s="8" t="s">
        <v>1288</v>
      </c>
      <c r="W247" s="8" t="s">
        <v>1276</v>
      </c>
      <c r="X247" s="8" t="s">
        <v>1289</v>
      </c>
      <c r="Y247" s="8" t="s">
        <v>1290</v>
      </c>
      <c r="Z247" s="8" t="s">
        <v>1284</v>
      </c>
      <c r="AA247" s="12" t="str">
        <f t="shared" si="11"/>
        <v>ACT-CTRL-STK-CTL-PM</v>
      </c>
    </row>
    <row r="248" spans="1:27" ht="20" customHeight="1" x14ac:dyDescent="0.35">
      <c r="A248" s="6" t="s">
        <v>1250</v>
      </c>
      <c r="B248" s="6" t="s">
        <v>1167</v>
      </c>
      <c r="C248" s="13">
        <v>45652</v>
      </c>
      <c r="D248" s="6" t="s">
        <v>1169</v>
      </c>
      <c r="E248" s="6" t="s">
        <v>34</v>
      </c>
      <c r="F248" s="6" t="s">
        <v>20</v>
      </c>
      <c r="G248" s="7" t="s">
        <v>348</v>
      </c>
      <c r="H248" s="7" t="s">
        <v>1344</v>
      </c>
      <c r="I248" s="8" t="s">
        <v>1252</v>
      </c>
      <c r="J248" s="8" t="s">
        <v>1252</v>
      </c>
      <c r="K248" s="9">
        <v>45652.481249999997</v>
      </c>
      <c r="L248" s="9">
        <v>45652.491666666669</v>
      </c>
      <c r="M248" s="9">
        <v>45652.512499999997</v>
      </c>
      <c r="N248" s="9">
        <v>45652.686805555553</v>
      </c>
      <c r="O248" s="10">
        <f t="shared" si="9"/>
        <v>4.1833333333488554</v>
      </c>
      <c r="P248" s="8">
        <v>0</v>
      </c>
      <c r="Q248" s="8" t="s">
        <v>1263</v>
      </c>
      <c r="R248" s="6" t="s">
        <v>1345</v>
      </c>
      <c r="S248" s="7" t="s">
        <v>1346</v>
      </c>
      <c r="T248" s="8" t="s">
        <v>1256</v>
      </c>
      <c r="U248" s="11">
        <f t="shared" si="10"/>
        <v>1</v>
      </c>
      <c r="V248" s="8" t="s">
        <v>1275</v>
      </c>
      <c r="W248" s="8" t="s">
        <v>1276</v>
      </c>
      <c r="X248" s="8" t="s">
        <v>1277</v>
      </c>
      <c r="Y248" s="8" t="s">
        <v>1275</v>
      </c>
      <c r="Z248" s="8" t="s">
        <v>1312</v>
      </c>
      <c r="AA248" s="12" t="str">
        <f t="shared" si="11"/>
        <v>INS-CTRL-DRF-INS-REP</v>
      </c>
    </row>
    <row r="249" spans="1:27" ht="20" customHeight="1" x14ac:dyDescent="0.35">
      <c r="A249" s="6" t="s">
        <v>1250</v>
      </c>
      <c r="B249" s="6" t="s">
        <v>1172</v>
      </c>
      <c r="C249" s="13">
        <v>45342</v>
      </c>
      <c r="D249" s="6" t="s">
        <v>1173</v>
      </c>
      <c r="E249" s="6" t="s">
        <v>47</v>
      </c>
      <c r="F249" s="6" t="s">
        <v>144</v>
      </c>
      <c r="G249" s="7" t="s">
        <v>116</v>
      </c>
      <c r="H249" s="7" t="s">
        <v>1324</v>
      </c>
      <c r="I249" s="8" t="s">
        <v>1292</v>
      </c>
      <c r="J249" s="8" t="s">
        <v>1293</v>
      </c>
      <c r="K249" s="9">
        <v>45342.945138888892</v>
      </c>
      <c r="L249" s="9">
        <v>45342.955555555563</v>
      </c>
      <c r="M249" s="9">
        <v>45342.976388888892</v>
      </c>
      <c r="N249" s="9">
        <v>45343.186805555553</v>
      </c>
      <c r="O249" s="10">
        <f t="shared" si="9"/>
        <v>5.0499999998719431</v>
      </c>
      <c r="P249" s="8">
        <v>0</v>
      </c>
      <c r="Q249" s="8" t="s">
        <v>1263</v>
      </c>
      <c r="R249" s="6" t="s">
        <v>1294</v>
      </c>
      <c r="S249" s="7" t="s">
        <v>1295</v>
      </c>
      <c r="T249" s="8" t="s">
        <v>1256</v>
      </c>
      <c r="U249" s="11">
        <f t="shared" si="10"/>
        <v>0</v>
      </c>
      <c r="V249" s="8" t="s">
        <v>1296</v>
      </c>
      <c r="W249" s="8" t="s">
        <v>1296</v>
      </c>
      <c r="X249" s="8" t="s">
        <v>1296</v>
      </c>
      <c r="Y249" s="8" t="s">
        <v>1296</v>
      </c>
      <c r="Z249" s="8" t="s">
        <v>1312</v>
      </c>
      <c r="AA249" s="12" t="str">
        <f t="shared" si="11"/>
        <v>UNK-UNK-UNK-UNK-REP</v>
      </c>
    </row>
    <row r="250" spans="1:27" ht="20" customHeight="1" x14ac:dyDescent="0.35">
      <c r="A250" s="6" t="s">
        <v>1250</v>
      </c>
      <c r="B250" s="6" t="s">
        <v>1176</v>
      </c>
      <c r="C250" s="13">
        <v>45323</v>
      </c>
      <c r="D250" s="6" t="s">
        <v>794</v>
      </c>
      <c r="E250" s="6" t="s">
        <v>41</v>
      </c>
      <c r="F250" s="6" t="s">
        <v>1406</v>
      </c>
      <c r="G250" s="7" t="s">
        <v>1177</v>
      </c>
      <c r="H250" s="7" t="s">
        <v>1399</v>
      </c>
      <c r="I250" s="8" t="s">
        <v>1272</v>
      </c>
      <c r="J250" s="8" t="s">
        <v>1252</v>
      </c>
      <c r="K250" s="9">
        <v>45323.628472222219</v>
      </c>
      <c r="L250" s="9">
        <v>45323.638888888891</v>
      </c>
      <c r="M250" s="9">
        <v>45323.659722222219</v>
      </c>
      <c r="N250" s="9">
        <v>45323.711805555547</v>
      </c>
      <c r="O250" s="10">
        <f t="shared" si="9"/>
        <v>1.2499999998835847</v>
      </c>
      <c r="P250" s="8">
        <v>0</v>
      </c>
      <c r="Q250" s="8" t="s">
        <v>1263</v>
      </c>
      <c r="R250" s="6" t="s">
        <v>1273</v>
      </c>
      <c r="S250" s="7" t="s">
        <v>1274</v>
      </c>
      <c r="T250" s="8" t="s">
        <v>1266</v>
      </c>
      <c r="U250" s="11">
        <f t="shared" si="10"/>
        <v>1</v>
      </c>
      <c r="V250" s="8" t="s">
        <v>1305</v>
      </c>
      <c r="W250" s="8" t="s">
        <v>1276</v>
      </c>
      <c r="X250" s="8" t="s">
        <v>1306</v>
      </c>
      <c r="Y250" s="8" t="s">
        <v>1290</v>
      </c>
      <c r="Z250" s="8" t="s">
        <v>1261</v>
      </c>
      <c r="AA250" s="12" t="str">
        <f t="shared" si="11"/>
        <v>SYS-CTRL-TRP-CTL-INSP</v>
      </c>
    </row>
    <row r="251" spans="1:27" ht="20" customHeight="1" x14ac:dyDescent="0.35">
      <c r="A251" s="6" t="s">
        <v>1250</v>
      </c>
      <c r="B251" s="6" t="s">
        <v>1179</v>
      </c>
      <c r="C251" s="13">
        <v>45834</v>
      </c>
      <c r="D251" s="6" t="s">
        <v>1396</v>
      </c>
      <c r="E251" s="6" t="s">
        <v>60</v>
      </c>
      <c r="F251" s="6" t="s">
        <v>144</v>
      </c>
      <c r="G251" s="7" t="s">
        <v>1181</v>
      </c>
      <c r="H251" s="7" t="s">
        <v>1400</v>
      </c>
      <c r="I251" s="8" t="s">
        <v>1272</v>
      </c>
      <c r="J251" s="8" t="s">
        <v>1252</v>
      </c>
      <c r="K251" s="9">
        <v>45834.405555555553</v>
      </c>
      <c r="L251" s="9">
        <v>45834.415972222218</v>
      </c>
      <c r="M251" s="9">
        <v>45834.436805555553</v>
      </c>
      <c r="N251" s="9">
        <v>45834.555555555547</v>
      </c>
      <c r="O251" s="10">
        <f t="shared" si="9"/>
        <v>2.8499999998603016</v>
      </c>
      <c r="P251" s="8">
        <v>0</v>
      </c>
      <c r="Q251" s="8" t="s">
        <v>1263</v>
      </c>
      <c r="R251" s="6" t="s">
        <v>1273</v>
      </c>
      <c r="S251" s="7" t="s">
        <v>1274</v>
      </c>
      <c r="T251" s="8" t="s">
        <v>1256</v>
      </c>
      <c r="U251" s="11">
        <f t="shared" si="10"/>
        <v>1</v>
      </c>
      <c r="V251" s="8" t="s">
        <v>1305</v>
      </c>
      <c r="W251" s="8" t="s">
        <v>1276</v>
      </c>
      <c r="X251" s="8" t="s">
        <v>1306</v>
      </c>
      <c r="Y251" s="8" t="s">
        <v>1290</v>
      </c>
      <c r="Z251" s="8" t="s">
        <v>1278</v>
      </c>
      <c r="AA251" s="12" t="str">
        <f t="shared" si="11"/>
        <v>SYS-CTRL-TRP-CTL-RST</v>
      </c>
    </row>
    <row r="252" spans="1:27" ht="20" customHeight="1" x14ac:dyDescent="0.35">
      <c r="A252" s="6" t="s">
        <v>1250</v>
      </c>
      <c r="B252" s="6" t="s">
        <v>1184</v>
      </c>
      <c r="C252" s="13">
        <v>45402</v>
      </c>
      <c r="D252" s="6" t="s">
        <v>1401</v>
      </c>
      <c r="E252" s="6" t="s">
        <v>207</v>
      </c>
      <c r="F252" s="6" t="s">
        <v>1404</v>
      </c>
      <c r="G252" s="7" t="s">
        <v>526</v>
      </c>
      <c r="H252" s="7" t="s">
        <v>1371</v>
      </c>
      <c r="I252" s="8" t="s">
        <v>1292</v>
      </c>
      <c r="J252" s="8" t="s">
        <v>1293</v>
      </c>
      <c r="K252" s="9">
        <v>45402.400694444441</v>
      </c>
      <c r="L252" s="9">
        <v>45402.411111111112</v>
      </c>
      <c r="M252" s="9">
        <v>45402.431944444441</v>
      </c>
      <c r="N252" s="9">
        <v>45402.679166666669</v>
      </c>
      <c r="O252" s="10">
        <f t="shared" si="9"/>
        <v>5.9333333334652707</v>
      </c>
      <c r="P252" s="8">
        <v>0</v>
      </c>
      <c r="Q252" s="8" t="s">
        <v>1263</v>
      </c>
      <c r="R252" s="6" t="s">
        <v>1294</v>
      </c>
      <c r="S252" s="7" t="s">
        <v>1295</v>
      </c>
      <c r="T252" s="8" t="s">
        <v>1256</v>
      </c>
      <c r="U252" s="11">
        <f t="shared" si="10"/>
        <v>0</v>
      </c>
      <c r="V252" s="8" t="s">
        <v>1275</v>
      </c>
      <c r="W252" s="8" t="s">
        <v>1276</v>
      </c>
      <c r="X252" s="8" t="s">
        <v>1277</v>
      </c>
      <c r="Y252" s="8" t="s">
        <v>1275</v>
      </c>
      <c r="Z252" s="8" t="s">
        <v>1261</v>
      </c>
      <c r="AA252" s="12" t="str">
        <f t="shared" si="11"/>
        <v>INS-CTRL-DRF-INS-INSP</v>
      </c>
    </row>
    <row r="253" spans="1:27" ht="20" customHeight="1" x14ac:dyDescent="0.35">
      <c r="A253" s="6" t="s">
        <v>1250</v>
      </c>
      <c r="B253" s="6" t="s">
        <v>1189</v>
      </c>
      <c r="C253" s="13">
        <v>45055</v>
      </c>
      <c r="D253" s="6" t="s">
        <v>1222</v>
      </c>
      <c r="E253" s="6" t="s">
        <v>47</v>
      </c>
      <c r="F253" s="6" t="s">
        <v>33</v>
      </c>
      <c r="G253" s="7" t="s">
        <v>18</v>
      </c>
      <c r="H253" s="7" t="s">
        <v>1262</v>
      </c>
      <c r="I253" s="8" t="s">
        <v>1252</v>
      </c>
      <c r="J253" s="8" t="s">
        <v>1252</v>
      </c>
      <c r="K253" s="9">
        <v>45055.999305555553</v>
      </c>
      <c r="L253" s="9">
        <v>45056.009722222218</v>
      </c>
      <c r="M253" s="9">
        <v>45056.030555555553</v>
      </c>
      <c r="N253" s="9">
        <v>45056.165972222218</v>
      </c>
      <c r="O253" s="10">
        <f t="shared" si="9"/>
        <v>3.2499999999417923</v>
      </c>
      <c r="P253" s="8">
        <v>0</v>
      </c>
      <c r="Q253" s="8" t="s">
        <v>1253</v>
      </c>
      <c r="R253" s="6" t="s">
        <v>1264</v>
      </c>
      <c r="S253" s="7" t="s">
        <v>1265</v>
      </c>
      <c r="T253" s="8" t="s">
        <v>1266</v>
      </c>
      <c r="U253" s="11">
        <f t="shared" si="10"/>
        <v>1</v>
      </c>
      <c r="V253" s="8" t="s">
        <v>1267</v>
      </c>
      <c r="W253" s="8" t="s">
        <v>1268</v>
      </c>
      <c r="X253" s="8" t="s">
        <v>1269</v>
      </c>
      <c r="Y253" s="8" t="s">
        <v>1260</v>
      </c>
      <c r="Z253" s="8" t="s">
        <v>1270</v>
      </c>
      <c r="AA253" s="12" t="str">
        <f t="shared" si="11"/>
        <v>FIL-SUC-BLK-MEC-RPL</v>
      </c>
    </row>
    <row r="254" spans="1:27" ht="20" customHeight="1" x14ac:dyDescent="0.35">
      <c r="A254" s="6" t="s">
        <v>1250</v>
      </c>
      <c r="B254" s="6" t="s">
        <v>1192</v>
      </c>
      <c r="C254" s="13">
        <v>45663</v>
      </c>
      <c r="D254" s="6" t="s">
        <v>1194</v>
      </c>
      <c r="E254" s="6" t="s">
        <v>34</v>
      </c>
      <c r="F254" s="6" t="s">
        <v>20</v>
      </c>
      <c r="G254" s="7" t="s">
        <v>116</v>
      </c>
      <c r="H254" s="7" t="s">
        <v>1324</v>
      </c>
      <c r="I254" s="8" t="s">
        <v>1292</v>
      </c>
      <c r="J254" s="8" t="s">
        <v>1293</v>
      </c>
      <c r="K254" s="9">
        <v>45663.81527777778</v>
      </c>
      <c r="L254" s="9">
        <v>45663.825694444437</v>
      </c>
      <c r="M254" s="9">
        <v>45663.84652777778</v>
      </c>
      <c r="N254" s="9">
        <v>45663.945833333331</v>
      </c>
      <c r="O254" s="10">
        <f t="shared" si="9"/>
        <v>2.3833333332440816</v>
      </c>
      <c r="P254" s="8">
        <v>0</v>
      </c>
      <c r="Q254" s="8" t="s">
        <v>1253</v>
      </c>
      <c r="R254" s="6" t="s">
        <v>1294</v>
      </c>
      <c r="S254" s="7" t="s">
        <v>1295</v>
      </c>
      <c r="T254" s="8" t="s">
        <v>1256</v>
      </c>
      <c r="U254" s="11">
        <f t="shared" si="10"/>
        <v>0</v>
      </c>
      <c r="V254" s="8" t="s">
        <v>1296</v>
      </c>
      <c r="W254" s="8" t="s">
        <v>1296</v>
      </c>
      <c r="X254" s="8" t="s">
        <v>1296</v>
      </c>
      <c r="Y254" s="8" t="s">
        <v>1296</v>
      </c>
      <c r="Z254" s="8" t="s">
        <v>1312</v>
      </c>
      <c r="AA254" s="12" t="str">
        <f t="shared" si="11"/>
        <v>UNK-UNK-UNK-UNK-REP</v>
      </c>
    </row>
    <row r="255" spans="1:27" ht="20" customHeight="1" x14ac:dyDescent="0.35">
      <c r="A255" s="6" t="s">
        <v>1250</v>
      </c>
      <c r="B255" s="6" t="s">
        <v>1197</v>
      </c>
      <c r="C255" s="13">
        <v>45679</v>
      </c>
      <c r="D255" s="6" t="s">
        <v>659</v>
      </c>
      <c r="E255" s="6" t="s">
        <v>60</v>
      </c>
      <c r="F255" s="6" t="s">
        <v>1407</v>
      </c>
      <c r="G255" s="7" t="s">
        <v>983</v>
      </c>
      <c r="H255" s="7" t="s">
        <v>1392</v>
      </c>
      <c r="I255" s="8" t="s">
        <v>1252</v>
      </c>
      <c r="J255" s="8" t="s">
        <v>1252</v>
      </c>
      <c r="K255" s="9">
        <v>45679.829861111109</v>
      </c>
      <c r="L255" s="9">
        <v>45679.840277777781</v>
      </c>
      <c r="M255" s="9">
        <v>45679.861111111109</v>
      </c>
      <c r="N255" s="9">
        <v>45680.050694444442</v>
      </c>
      <c r="O255" s="10">
        <f t="shared" si="9"/>
        <v>4.5499999999883585</v>
      </c>
      <c r="P255" s="8">
        <v>0</v>
      </c>
      <c r="Q255" s="8" t="s">
        <v>1253</v>
      </c>
      <c r="R255" s="6" t="s">
        <v>1299</v>
      </c>
      <c r="S255" s="7" t="s">
        <v>1300</v>
      </c>
      <c r="T255" s="8" t="s">
        <v>1256</v>
      </c>
      <c r="U255" s="11">
        <f t="shared" si="10"/>
        <v>1</v>
      </c>
      <c r="V255" s="8" t="s">
        <v>1301</v>
      </c>
      <c r="W255" s="8" t="s">
        <v>1258</v>
      </c>
      <c r="X255" s="8" t="s">
        <v>1302</v>
      </c>
      <c r="Y255" s="8" t="s">
        <v>1260</v>
      </c>
      <c r="Z255" s="8" t="s">
        <v>1261</v>
      </c>
      <c r="AA255" s="12" t="str">
        <f t="shared" si="11"/>
        <v>BRG-DE-VIB-MEC-INSP</v>
      </c>
    </row>
    <row r="256" spans="1:27" ht="20" customHeight="1" x14ac:dyDescent="0.35">
      <c r="A256" s="6" t="s">
        <v>1250</v>
      </c>
      <c r="B256" s="6" t="s">
        <v>1201</v>
      </c>
      <c r="C256" s="13">
        <v>45411</v>
      </c>
      <c r="D256" s="6" t="s">
        <v>1402</v>
      </c>
      <c r="E256" s="6" t="s">
        <v>47</v>
      </c>
      <c r="F256" s="6" t="s">
        <v>144</v>
      </c>
      <c r="G256" s="7" t="s">
        <v>692</v>
      </c>
      <c r="H256" s="7" t="s">
        <v>1380</v>
      </c>
      <c r="I256" s="8" t="s">
        <v>1272</v>
      </c>
      <c r="J256" s="8" t="s">
        <v>1252</v>
      </c>
      <c r="K256" s="9">
        <v>45411.893750000003</v>
      </c>
      <c r="L256" s="9">
        <v>45411.904166666667</v>
      </c>
      <c r="M256" s="9">
        <v>45411.925000000003</v>
      </c>
      <c r="N256" s="9">
        <v>45412.19027777778</v>
      </c>
      <c r="O256" s="10">
        <f t="shared" si="9"/>
        <v>6.3666666666395031</v>
      </c>
      <c r="P256" s="8">
        <v>0</v>
      </c>
      <c r="Q256" s="8" t="s">
        <v>1253</v>
      </c>
      <c r="R256" s="6" t="s">
        <v>1273</v>
      </c>
      <c r="S256" s="7" t="s">
        <v>1274</v>
      </c>
      <c r="T256" s="8" t="s">
        <v>1256</v>
      </c>
      <c r="U256" s="11">
        <f t="shared" si="10"/>
        <v>1</v>
      </c>
      <c r="V256" s="8" t="s">
        <v>1305</v>
      </c>
      <c r="W256" s="8" t="s">
        <v>1276</v>
      </c>
      <c r="X256" s="8" t="s">
        <v>1306</v>
      </c>
      <c r="Y256" s="8" t="s">
        <v>1290</v>
      </c>
      <c r="Z256" s="8" t="s">
        <v>1278</v>
      </c>
      <c r="AA256" s="12" t="str">
        <f t="shared" si="11"/>
        <v>SYS-CTRL-TRP-CTL-RST</v>
      </c>
    </row>
    <row r="257" spans="1:27" ht="20" customHeight="1" x14ac:dyDescent="0.35">
      <c r="A257" s="6" t="s">
        <v>1250</v>
      </c>
      <c r="B257" s="6" t="s">
        <v>1206</v>
      </c>
      <c r="C257" s="13">
        <v>45944</v>
      </c>
      <c r="D257" s="6" t="s">
        <v>281</v>
      </c>
      <c r="E257" s="6" t="s">
        <v>21</v>
      </c>
      <c r="F257" s="6" t="s">
        <v>33</v>
      </c>
      <c r="G257" s="7" t="s">
        <v>18</v>
      </c>
      <c r="H257" s="7" t="s">
        <v>1262</v>
      </c>
      <c r="I257" s="8" t="s">
        <v>1252</v>
      </c>
      <c r="J257" s="8" t="s">
        <v>1252</v>
      </c>
      <c r="K257" s="9">
        <v>45944.918055555558</v>
      </c>
      <c r="L257" s="9">
        <v>45944.928472222222</v>
      </c>
      <c r="M257" s="9">
        <v>45944.949305555558</v>
      </c>
      <c r="N257" s="9">
        <v>45945.068055555559</v>
      </c>
      <c r="O257" s="10">
        <f t="shared" si="9"/>
        <v>2.8500000000349246</v>
      </c>
      <c r="P257" s="8">
        <v>0</v>
      </c>
      <c r="Q257" s="8" t="s">
        <v>1253</v>
      </c>
      <c r="R257" s="6" t="s">
        <v>1264</v>
      </c>
      <c r="S257" s="7" t="s">
        <v>1265</v>
      </c>
      <c r="T257" s="8" t="s">
        <v>1256</v>
      </c>
      <c r="U257" s="11">
        <f t="shared" si="10"/>
        <v>1</v>
      </c>
      <c r="V257" s="8" t="s">
        <v>1267</v>
      </c>
      <c r="W257" s="8" t="s">
        <v>1268</v>
      </c>
      <c r="X257" s="8" t="s">
        <v>1269</v>
      </c>
      <c r="Y257" s="8" t="s">
        <v>1260</v>
      </c>
      <c r="Z257" s="8" t="s">
        <v>1270</v>
      </c>
      <c r="AA257" s="12" t="str">
        <f t="shared" si="11"/>
        <v>FIL-SUC-BLK-MEC-RPL</v>
      </c>
    </row>
    <row r="258" spans="1:27" ht="20" customHeight="1" x14ac:dyDescent="0.35">
      <c r="A258" s="6" t="s">
        <v>1250</v>
      </c>
      <c r="B258" s="6" t="s">
        <v>1210</v>
      </c>
      <c r="C258" s="13">
        <v>45411</v>
      </c>
      <c r="D258" s="6" t="s">
        <v>697</v>
      </c>
      <c r="E258" s="6" t="s">
        <v>41</v>
      </c>
      <c r="F258" s="6" t="s">
        <v>33</v>
      </c>
      <c r="G258" s="7" t="s">
        <v>370</v>
      </c>
      <c r="H258" s="7" t="s">
        <v>1283</v>
      </c>
      <c r="I258" s="8" t="s">
        <v>1284</v>
      </c>
      <c r="J258" s="8" t="s">
        <v>1285</v>
      </c>
      <c r="K258" s="9">
        <v>45411.375</v>
      </c>
      <c r="L258" s="9">
        <v>45411.375</v>
      </c>
      <c r="M258" s="9">
        <v>45411.375</v>
      </c>
      <c r="N258" s="9">
        <v>45411.4375</v>
      </c>
      <c r="O258" s="10">
        <f t="shared" ref="O258:O261" si="12">IF(AND(N258&lt;&gt;"",M258&lt;&gt;""),(N258-M258)*24,"")</f>
        <v>1.5</v>
      </c>
      <c r="P258" s="8">
        <v>1</v>
      </c>
      <c r="Q258" s="8" t="s">
        <v>1263</v>
      </c>
      <c r="R258" s="6" t="s">
        <v>1286</v>
      </c>
      <c r="S258" s="7" t="s">
        <v>1287</v>
      </c>
      <c r="T258" s="8" t="s">
        <v>1266</v>
      </c>
      <c r="U258" s="11">
        <f t="shared" si="10"/>
        <v>0</v>
      </c>
      <c r="V258" s="8" t="s">
        <v>1296</v>
      </c>
      <c r="W258" s="8" t="s">
        <v>1296</v>
      </c>
      <c r="X258" s="8" t="s">
        <v>1296</v>
      </c>
      <c r="Y258" s="8" t="s">
        <v>1296</v>
      </c>
      <c r="Z258" s="8" t="s">
        <v>1284</v>
      </c>
      <c r="AA258" s="12" t="str">
        <f t="shared" ref="AA258:AA261" si="13">IF(V258="","",V258&amp;"-"&amp;W258&amp;"-"&amp;X258&amp;"-"&amp;Y258&amp;"-"&amp;Z258)</f>
        <v>UNK-UNK-UNK-UNK-PM</v>
      </c>
    </row>
    <row r="259" spans="1:27" ht="20" customHeight="1" x14ac:dyDescent="0.35">
      <c r="A259" s="6" t="s">
        <v>1250</v>
      </c>
      <c r="B259" s="6" t="s">
        <v>1212</v>
      </c>
      <c r="C259" s="13">
        <v>45534</v>
      </c>
      <c r="D259" s="6" t="s">
        <v>892</v>
      </c>
      <c r="E259" s="6" t="s">
        <v>207</v>
      </c>
      <c r="F259" s="6" t="s">
        <v>33</v>
      </c>
      <c r="G259" s="7" t="s">
        <v>82</v>
      </c>
      <c r="H259" s="7" t="s">
        <v>1311</v>
      </c>
      <c r="I259" s="8" t="s">
        <v>1292</v>
      </c>
      <c r="J259" s="8" t="s">
        <v>1293</v>
      </c>
      <c r="K259" s="9">
        <v>45534.296527777777</v>
      </c>
      <c r="L259" s="9">
        <v>45534.306944444441</v>
      </c>
      <c r="M259" s="9">
        <v>45534.327777777777</v>
      </c>
      <c r="N259" s="9">
        <v>45534.451388888891</v>
      </c>
      <c r="O259" s="10">
        <f t="shared" si="12"/>
        <v>2.9666666667326353</v>
      </c>
      <c r="P259" s="8">
        <v>0</v>
      </c>
      <c r="Q259" s="8" t="s">
        <v>1253</v>
      </c>
      <c r="R259" s="6" t="s">
        <v>1294</v>
      </c>
      <c r="S259" s="7" t="s">
        <v>1295</v>
      </c>
      <c r="T259" s="8" t="s">
        <v>1256</v>
      </c>
      <c r="U259" s="11">
        <f t="shared" si="10"/>
        <v>0</v>
      </c>
      <c r="V259" s="8" t="s">
        <v>1275</v>
      </c>
      <c r="W259" s="8" t="s">
        <v>1276</v>
      </c>
      <c r="X259" s="8" t="s">
        <v>1277</v>
      </c>
      <c r="Y259" s="8" t="s">
        <v>1275</v>
      </c>
      <c r="Z259" s="8" t="s">
        <v>1312</v>
      </c>
      <c r="AA259" s="12" t="str">
        <f t="shared" si="13"/>
        <v>INS-CTRL-DRF-INS-REP</v>
      </c>
    </row>
    <row r="260" spans="1:27" ht="20" customHeight="1" x14ac:dyDescent="0.35">
      <c r="A260" s="6" t="s">
        <v>1250</v>
      </c>
      <c r="B260" s="6" t="s">
        <v>1216</v>
      </c>
      <c r="C260" s="13">
        <v>45132</v>
      </c>
      <c r="D260" s="6" t="s">
        <v>329</v>
      </c>
      <c r="E260" s="6" t="s">
        <v>34</v>
      </c>
      <c r="F260" s="6" t="s">
        <v>144</v>
      </c>
      <c r="G260" s="7" t="s">
        <v>82</v>
      </c>
      <c r="H260" s="7" t="s">
        <v>1311</v>
      </c>
      <c r="I260" s="8" t="s">
        <v>1292</v>
      </c>
      <c r="J260" s="8" t="s">
        <v>1293</v>
      </c>
      <c r="K260" s="9">
        <v>45132.542361111111</v>
      </c>
      <c r="L260" s="9">
        <v>45132.552777777782</v>
      </c>
      <c r="M260" s="9">
        <v>45132.573611111111</v>
      </c>
      <c r="N260" s="9">
        <v>45132.714583333327</v>
      </c>
      <c r="O260" s="10">
        <f t="shared" si="12"/>
        <v>3.3833333331858739</v>
      </c>
      <c r="P260" s="8">
        <v>0</v>
      </c>
      <c r="Q260" s="8" t="s">
        <v>1253</v>
      </c>
      <c r="R260" s="6" t="s">
        <v>1294</v>
      </c>
      <c r="S260" s="7" t="s">
        <v>1295</v>
      </c>
      <c r="T260" s="8" t="s">
        <v>1256</v>
      </c>
      <c r="U260" s="11">
        <f t="shared" si="10"/>
        <v>0</v>
      </c>
      <c r="V260" s="8" t="s">
        <v>1296</v>
      </c>
      <c r="W260" s="8" t="s">
        <v>1296</v>
      </c>
      <c r="X260" s="8" t="s">
        <v>1296</v>
      </c>
      <c r="Y260" s="8" t="s">
        <v>1296</v>
      </c>
      <c r="Z260" s="8" t="s">
        <v>1312</v>
      </c>
      <c r="AA260" s="12" t="str">
        <f t="shared" si="13"/>
        <v>UNK-UNK-UNK-UNK-REP</v>
      </c>
    </row>
    <row r="261" spans="1:27" ht="20" customHeight="1" x14ac:dyDescent="0.35">
      <c r="A261" s="6" t="s">
        <v>1250</v>
      </c>
      <c r="B261" s="6" t="s">
        <v>1220</v>
      </c>
      <c r="C261" s="13">
        <v>45776</v>
      </c>
      <c r="D261" s="6" t="s">
        <v>1222</v>
      </c>
      <c r="E261" s="6" t="s">
        <v>47</v>
      </c>
      <c r="F261" s="6" t="s">
        <v>20</v>
      </c>
      <c r="G261" s="7" t="s">
        <v>1223</v>
      </c>
      <c r="H261" s="7" t="s">
        <v>1403</v>
      </c>
      <c r="I261" s="8" t="s">
        <v>1272</v>
      </c>
      <c r="J261" s="8" t="s">
        <v>1252</v>
      </c>
      <c r="K261" s="9">
        <v>45776.929166666669</v>
      </c>
      <c r="L261" s="9">
        <v>45776.939583333333</v>
      </c>
      <c r="M261" s="9">
        <v>45776.960416666669</v>
      </c>
      <c r="N261" s="9">
        <v>45777.129861111112</v>
      </c>
      <c r="O261" s="10">
        <f t="shared" si="12"/>
        <v>4.0666666666511446</v>
      </c>
      <c r="P261" s="8">
        <v>0</v>
      </c>
      <c r="Q261" s="8" t="s">
        <v>1253</v>
      </c>
      <c r="R261" s="6" t="s">
        <v>1254</v>
      </c>
      <c r="S261" s="7" t="s">
        <v>1255</v>
      </c>
      <c r="T261" s="8" t="s">
        <v>1256</v>
      </c>
      <c r="U261" s="11">
        <f t="shared" si="10"/>
        <v>1</v>
      </c>
      <c r="V261" s="8" t="s">
        <v>1257</v>
      </c>
      <c r="W261" s="8" t="s">
        <v>1258</v>
      </c>
      <c r="X261" s="8" t="s">
        <v>1259</v>
      </c>
      <c r="Y261" s="8" t="s">
        <v>1260</v>
      </c>
      <c r="Z261" s="8" t="s">
        <v>1278</v>
      </c>
      <c r="AA261" s="12" t="str">
        <f t="shared" si="13"/>
        <v>CPL-DE-ALN-MEC-RST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Raw_Messy_WO</vt:lpstr>
      <vt:lpstr>Clean_Maintenance_Log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2026-03-08T05:31:39Z</dcterms:created>
  <dcterms:modified xsi:type="dcterms:W3CDTF">2026-03-14T04:13:54Z</dcterms:modified>
</cp:coreProperties>
</file>