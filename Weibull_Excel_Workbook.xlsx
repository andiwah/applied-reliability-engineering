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wnloads\"/>
    </mc:Choice>
  </mc:AlternateContent>
  <xr:revisionPtr revIDLastSave="0" documentId="13_ncr:1_{79B1846A-CDF6-4AE6-813F-D88B0253CCF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ailure_Events" sheetId="1" r:id="rId1"/>
    <sheet name="WBL_11_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2" l="1"/>
  <c r="H11" i="2" s="1"/>
  <c r="G12" i="2"/>
  <c r="H12" i="2" s="1"/>
  <c r="B18" i="2"/>
  <c r="C19" i="2"/>
  <c r="C18" i="2"/>
  <c r="C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B19" i="2"/>
  <c r="E18" i="2"/>
  <c r="E17" i="2"/>
  <c r="B17" i="2"/>
  <c r="G10" i="2"/>
  <c r="H10" i="2" s="1"/>
  <c r="H9" i="2"/>
  <c r="I9" i="2" s="1"/>
  <c r="K9" i="2" s="1"/>
  <c r="G9" i="2"/>
  <c r="D18" i="2" l="1"/>
  <c r="F18" i="2" s="1"/>
  <c r="D17" i="2"/>
  <c r="F17" i="2" s="1"/>
  <c r="I11" i="2"/>
  <c r="K11" i="2" s="1"/>
  <c r="J11" i="2"/>
  <c r="J10" i="2"/>
  <c r="I10" i="2"/>
  <c r="K10" i="2" s="1"/>
  <c r="J12" i="2"/>
  <c r="I12" i="2"/>
  <c r="K12" i="2" s="1"/>
  <c r="J9" i="2"/>
  <c r="I17" i="2" l="1"/>
  <c r="I18" i="2"/>
  <c r="I19" i="2" l="1"/>
</calcChain>
</file>

<file path=xl/sharedStrings.xml><?xml version="1.0" encoding="utf-8"?>
<sst xmlns="http://schemas.openxmlformats.org/spreadsheetml/2006/main" count="3668" uniqueCount="701">
  <si>
    <t>Plant</t>
  </si>
  <si>
    <t>Event_ID</t>
  </si>
  <si>
    <t>Asset_ID</t>
  </si>
  <si>
    <t>Event_Type</t>
  </si>
  <si>
    <t>Failure_Start</t>
  </si>
  <si>
    <t>Detection_Time</t>
  </si>
  <si>
    <t>Repair_Start</t>
  </si>
  <si>
    <t>Return_To_Service</t>
  </si>
  <si>
    <t>Downtime_hr</t>
  </si>
  <si>
    <t>Planned_Flag</t>
  </si>
  <si>
    <t>Production_Impact</t>
  </si>
  <si>
    <t>Failure_Mode_Code</t>
  </si>
  <si>
    <t>Failure_Mode_Text</t>
  </si>
  <si>
    <t>Cause_Code</t>
  </si>
  <si>
    <t>Cause_Category</t>
  </si>
  <si>
    <t>Action_Code</t>
  </si>
  <si>
    <t>Action_Category</t>
  </si>
  <si>
    <t>Parts_Used_Flag</t>
  </si>
  <si>
    <t>WorkOrder_ID</t>
  </si>
  <si>
    <t>Comments</t>
  </si>
  <si>
    <t>Data_Quality_Flag</t>
  </si>
  <si>
    <t>Component_Code</t>
  </si>
  <si>
    <t>Location_Code</t>
  </si>
  <si>
    <t>Event_Code</t>
  </si>
  <si>
    <t>Agent_Code</t>
  </si>
  <si>
    <t>Response_Code</t>
  </si>
  <si>
    <t>CLEAR_Code</t>
  </si>
  <si>
    <t>Alpha Process Plant</t>
  </si>
  <si>
    <t>EV-2024-000001</t>
  </si>
  <si>
    <t>MTR-302</t>
  </si>
  <si>
    <t>FAILURE</t>
  </si>
  <si>
    <t>Medium</t>
  </si>
  <si>
    <t>FM-MTR-UNB-01</t>
  </si>
  <si>
    <t>Current/voltage unbalance overheating</t>
  </si>
  <si>
    <t>CA-OPR-OVL</t>
  </si>
  <si>
    <t>Operation</t>
  </si>
  <si>
    <t>AC-RWD-MTR</t>
  </si>
  <si>
    <t>Repair</t>
  </si>
  <si>
    <t>WO-550001</t>
  </si>
  <si>
    <t>Impulse line restriction found; flushed and restored response.</t>
  </si>
  <si>
    <t>A</t>
  </si>
  <si>
    <t>UNK</t>
  </si>
  <si>
    <t>DE</t>
  </si>
  <si>
    <t>OHT</t>
  </si>
  <si>
    <t>OPR</t>
  </si>
  <si>
    <t>REP</t>
  </si>
  <si>
    <t>UNK-DE-OHT-OPR-REP</t>
  </si>
  <si>
    <t>EV-2024-000002</t>
  </si>
  <si>
    <t>PMP-107</t>
  </si>
  <si>
    <t>Low</t>
  </si>
  <si>
    <t>FM-PMP-IMP-01</t>
  </si>
  <si>
    <t>Impeller erosion / clogging</t>
  </si>
  <si>
    <t>CA-DSN-UND</t>
  </si>
  <si>
    <t>Design</t>
  </si>
  <si>
    <t>AC-RPL-BRG</t>
  </si>
  <si>
    <t>Replace</t>
  </si>
  <si>
    <t>WO-550002</t>
  </si>
  <si>
    <t>Observed abnormal vibration; suspected cavitation. Seal temperature elevated.</t>
  </si>
  <si>
    <t>SUC</t>
  </si>
  <si>
    <t>RPL</t>
  </si>
  <si>
    <t>UNK-SUC-UNK-UNK-RPL</t>
  </si>
  <si>
    <t>EV-2024-000003</t>
  </si>
  <si>
    <t>CV-409</t>
  </si>
  <si>
    <t>TRIP</t>
  </si>
  <si>
    <t>FM-CV-CAV-01</t>
  </si>
  <si>
    <t>Cavitation / flashing damage</t>
  </si>
  <si>
    <t>CA-MNT-LUB</t>
  </si>
  <si>
    <t>Maintenance</t>
  </si>
  <si>
    <t>WO-550003</t>
  </si>
  <si>
    <t>Intermittent signal noise; HART comms errors; checked grounding/shield.</t>
  </si>
  <si>
    <t>B</t>
  </si>
  <si>
    <t>MEC</t>
  </si>
  <si>
    <t>UNK-DE-UNK-MEC-REP</t>
  </si>
  <si>
    <t>EV-2024-000004</t>
  </si>
  <si>
    <t>PMP-101A</t>
  </si>
  <si>
    <t>FM-PMP-CAV-01</t>
  </si>
  <si>
    <t>Cavitation damage</t>
  </si>
  <si>
    <t>CA-OPR-CAV</t>
  </si>
  <si>
    <t>AC-CHK-OPS</t>
  </si>
  <si>
    <t>Adjust</t>
  </si>
  <si>
    <t>WO-550004</t>
  </si>
  <si>
    <t>NDE</t>
  </si>
  <si>
    <t>ADJ</t>
  </si>
  <si>
    <t>UNK-NDE-UNK-OPR-ADJ</t>
  </si>
  <si>
    <t>EV-2024-000005</t>
  </si>
  <si>
    <t>PMP-104</t>
  </si>
  <si>
    <t>FM-PMP-SEA-01</t>
  </si>
  <si>
    <t>Mechanical seal leakage</t>
  </si>
  <si>
    <t>AC-RPL-SEA</t>
  </si>
  <si>
    <t>WO-550005</t>
  </si>
  <si>
    <t>Low lube oil pressure alarm; filter found dirty; cleaned and replaced element.</t>
  </si>
  <si>
    <t>SEA</t>
  </si>
  <si>
    <t>LEK</t>
  </si>
  <si>
    <t>SEA-DE-LEK-MEC-RPL</t>
  </si>
  <si>
    <t>EV-2024-000006</t>
  </si>
  <si>
    <t>PMP-109</t>
  </si>
  <si>
    <t>High</t>
  </si>
  <si>
    <t>WO-550006</t>
  </si>
  <si>
    <t>Megger PI low; motor pulled for inspection; winding repair scheduled.</t>
  </si>
  <si>
    <t>TB</t>
  </si>
  <si>
    <t>SEA-TB-LEK-MEC-RPL</t>
  </si>
  <si>
    <t>EV-2024-000007</t>
  </si>
  <si>
    <t>MTR-303</t>
  </si>
  <si>
    <t>FM-MTR-BRG-01</t>
  </si>
  <si>
    <t>Bearing failure</t>
  </si>
  <si>
    <t>WO-550007</t>
  </si>
  <si>
    <t>BRG</t>
  </si>
  <si>
    <t>DIS</t>
  </si>
  <si>
    <t>BRG-DIS-UNK-MEC-RPL</t>
  </si>
  <si>
    <t>EV-2024-000008</t>
  </si>
  <si>
    <t>TX-508</t>
  </si>
  <si>
    <t>FM-INS-NOI-01</t>
  </si>
  <si>
    <t>Signal noise / intermittent communication</t>
  </si>
  <si>
    <t>AC-CLN-FLT</t>
  </si>
  <si>
    <t>Clean</t>
  </si>
  <si>
    <t>WO-550008</t>
  </si>
  <si>
    <t>trip; reset ok</t>
  </si>
  <si>
    <t>C</t>
  </si>
  <si>
    <t>CLN</t>
  </si>
  <si>
    <t>UNK-TB-UNK-MEC-CLN</t>
  </si>
  <si>
    <t>EV-2024-000009</t>
  </si>
  <si>
    <t>MTR-311</t>
  </si>
  <si>
    <t>WO-550009</t>
  </si>
  <si>
    <t>BRG-DE-UNK-MEC-RPL</t>
  </si>
  <si>
    <t>EV-2024-000010</t>
  </si>
  <si>
    <t>CV-408</t>
  </si>
  <si>
    <t>FM-CV-AIR-01</t>
  </si>
  <si>
    <t>Actuator air supply issue</t>
  </si>
  <si>
    <t>CA-UTL-AIR</t>
  </si>
  <si>
    <t>Utility</t>
  </si>
  <si>
    <t>AC-RPL-PSR</t>
  </si>
  <si>
    <t>WO-550010</t>
  </si>
  <si>
    <t>Unit tripped on high temperature; reset unsuccessful; cooler suspected fouling.</t>
  </si>
  <si>
    <t>EV-2024-000011</t>
  </si>
  <si>
    <t>TX-507</t>
  </si>
  <si>
    <t>FM-INS-FAL-01</t>
  </si>
  <si>
    <t>False trip / spurious alarm</t>
  </si>
  <si>
    <t>WO-550011</t>
  </si>
  <si>
    <t>Valve oscillation reported; signature indicates stiction; packing adjusted.</t>
  </si>
  <si>
    <t>TRP</t>
  </si>
  <si>
    <t>UNK-TB-TRP-OPR-CLN</t>
  </si>
  <si>
    <t>EV-2024-000012</t>
  </si>
  <si>
    <t>PMP-110</t>
  </si>
  <si>
    <t>AC-RPL-TUB</t>
  </si>
  <si>
    <t>WO-550012</t>
  </si>
  <si>
    <t>UNK-DIS-UNK-MEC-RPL</t>
  </si>
  <si>
    <t>EV-2024-000013</t>
  </si>
  <si>
    <t>FM-PMP-BRG-01</t>
  </si>
  <si>
    <t>Bearing degradation / failure</t>
  </si>
  <si>
    <t>WO-550013</t>
  </si>
  <si>
    <t>BRG-TB-UNK-MEC-RPL</t>
  </si>
  <si>
    <t>EV-2024-000014</t>
  </si>
  <si>
    <t>MTR-310</t>
  </si>
  <si>
    <t>WO-550014</t>
  </si>
  <si>
    <t>UNK-SUC-OHT-OPR-CLN</t>
  </si>
  <si>
    <t>EV-2024-000015</t>
  </si>
  <si>
    <t>TX-504</t>
  </si>
  <si>
    <t>FM-INS-DRF-01</t>
  </si>
  <si>
    <t>Calibration drift / out of tolerance</t>
  </si>
  <si>
    <t>CA-INS-DRF</t>
  </si>
  <si>
    <t>Measurement</t>
  </si>
  <si>
    <t>AC-CAL-TX</t>
  </si>
  <si>
    <t>Calibrate</t>
  </si>
  <si>
    <t>WO-550015</t>
  </si>
  <si>
    <t>Bearing noise audible; grease contaminated; bearings replaced.</t>
  </si>
  <si>
    <t>DRF</t>
  </si>
  <si>
    <t>CAL</t>
  </si>
  <si>
    <t>UNK-DIS-DRF-UNK-CAL</t>
  </si>
  <si>
    <t>EV-2024-000016</t>
  </si>
  <si>
    <t>PMP-108</t>
  </si>
  <si>
    <t>WO-550016</t>
  </si>
  <si>
    <t>UNK-TB-UNK-UNK-RPL</t>
  </si>
  <si>
    <t>EV-2024-000017</t>
  </si>
  <si>
    <t>CMP-201A</t>
  </si>
  <si>
    <t>FM-CMP-OIL-01</t>
  </si>
  <si>
    <t>Lube oil pressure low / contamination</t>
  </si>
  <si>
    <t>WO-550017</t>
  </si>
  <si>
    <t>EV-2024-000018</t>
  </si>
  <si>
    <t>TX-506</t>
  </si>
  <si>
    <t>WO-550018</t>
  </si>
  <si>
    <t>EV-2024-000019</t>
  </si>
  <si>
    <t>MTR-305</t>
  </si>
  <si>
    <t>FM-MTR-VFD-01</t>
  </si>
  <si>
    <t>VFD-related stress / bearing fluting</t>
  </si>
  <si>
    <t>CA-ELC-PQ</t>
  </si>
  <si>
    <t>Electrical</t>
  </si>
  <si>
    <t>WO-550019</t>
  </si>
  <si>
    <t>ELC</t>
  </si>
  <si>
    <t>BRG-DE-UNK-ELC-RPL</t>
  </si>
  <si>
    <t>EV-2024-000020</t>
  </si>
  <si>
    <t>CV-404</t>
  </si>
  <si>
    <t>FM-CV-STI-01</t>
  </si>
  <si>
    <t>Stiction / sticking</t>
  </si>
  <si>
    <t>CA-MNT-MIS</t>
  </si>
  <si>
    <t>AC-ADJ-ALI</t>
  </si>
  <si>
    <t>WO-550020</t>
  </si>
  <si>
    <t>UNK-NDE-UNK-MEC-ADJ</t>
  </si>
  <si>
    <t>EV-2024-000021</t>
  </si>
  <si>
    <t>CV-401</t>
  </si>
  <si>
    <t>WO-550021</t>
  </si>
  <si>
    <t>UNK-DIS-UNK-UNK-RPL</t>
  </si>
  <si>
    <t>EV-2024-000022</t>
  </si>
  <si>
    <t>WO-550022</t>
  </si>
  <si>
    <t>UNK-TB-OHT-OPR-REP</t>
  </si>
  <si>
    <t>EV-2024-000023</t>
  </si>
  <si>
    <t>WO-550023</t>
  </si>
  <si>
    <t>EV-2024-000024</t>
  </si>
  <si>
    <t>PMP-112</t>
  </si>
  <si>
    <t>WO-550024</t>
  </si>
  <si>
    <t>UNK-SUC-UNK-OPR-ADJ</t>
  </si>
  <si>
    <t>EV-2024-000025</t>
  </si>
  <si>
    <t>TX-501</t>
  </si>
  <si>
    <t>FM-INS-ENV-01</t>
  </si>
  <si>
    <t>Environmental ingress (moisture/corrosion)</t>
  </si>
  <si>
    <t>WO-550025</t>
  </si>
  <si>
    <t>UNK-NDE-UNK-UNK-RPL</t>
  </si>
  <si>
    <t>EV-2024-000026</t>
  </si>
  <si>
    <t>FM-CV-LEK-01</t>
  </si>
  <si>
    <t>Packing leakage</t>
  </si>
  <si>
    <t>WO-550026</t>
  </si>
  <si>
    <t>Loose terminal found; hot spot on IR; tightened and re-torqued connections.</t>
  </si>
  <si>
    <t>UNK-DE-LEK-MEC-CAL</t>
  </si>
  <si>
    <t>EV-2024-000027</t>
  </si>
  <si>
    <t>MTR-307</t>
  </si>
  <si>
    <t>WO-550027</t>
  </si>
  <si>
    <t>UNK-TB-OHT-OPR-CLN</t>
  </si>
  <si>
    <t>EV-2024-000028</t>
  </si>
  <si>
    <t>WO-550028</t>
  </si>
  <si>
    <t>UNK-DIS-TRP-UNK-RPL</t>
  </si>
  <si>
    <t>EV-2024-000029</t>
  </si>
  <si>
    <t>WO-550029</t>
  </si>
  <si>
    <t>EV-2024-000030</t>
  </si>
  <si>
    <t>WO-550030</t>
  </si>
  <si>
    <t>EV-2024-000031</t>
  </si>
  <si>
    <t>TX-503</t>
  </si>
  <si>
    <t>DEGRADED</t>
  </si>
  <si>
    <t>WO-550031</t>
  </si>
  <si>
    <t>EV-2024-000032</t>
  </si>
  <si>
    <t>PMP-106</t>
  </si>
  <si>
    <t>WO-550032</t>
  </si>
  <si>
    <t>EV-2024-000033</t>
  </si>
  <si>
    <t>WO-550033</t>
  </si>
  <si>
    <t>EV-2024-000034</t>
  </si>
  <si>
    <t>FM-INS-PLG-01</t>
  </si>
  <si>
    <t>Impulse line plugging / restriction</t>
  </si>
  <si>
    <t>WO-550034</t>
  </si>
  <si>
    <t>IMP</t>
  </si>
  <si>
    <t>IMP-SUC-UNK-ELC-RPL</t>
  </si>
  <si>
    <t>EV-2024-000035</t>
  </si>
  <si>
    <t>WO-550035</t>
  </si>
  <si>
    <t>IMP-DE-UNK-MEC-CLN</t>
  </si>
  <si>
    <t>EV-2024-000036</t>
  </si>
  <si>
    <t>WO-550036</t>
  </si>
  <si>
    <t>UNK-DIS-TRP-MEC-CAL</t>
  </si>
  <si>
    <t>EV-2024-000037</t>
  </si>
  <si>
    <t>MTR-306</t>
  </si>
  <si>
    <t>FM-MTR-INS-01</t>
  </si>
  <si>
    <t>Insulation breakdown (winding fault)</t>
  </si>
  <si>
    <t>WO-550037</t>
  </si>
  <si>
    <t>WDG</t>
  </si>
  <si>
    <t>WDG-SUC-UNK-ELC-CLN</t>
  </si>
  <si>
    <t>EV-2024-000038</t>
  </si>
  <si>
    <t>CV-403</t>
  </si>
  <si>
    <t>WO-550038</t>
  </si>
  <si>
    <t>UNK-NDE-LEK-UNK-RPL</t>
  </si>
  <si>
    <t>EV-2024-000039</t>
  </si>
  <si>
    <t>WO-550039</t>
  </si>
  <si>
    <t>UNK-DIS-UNK-OPR-ADJ</t>
  </si>
  <si>
    <t>EV-2024-000040</t>
  </si>
  <si>
    <t>FM-CV-TRV-01</t>
  </si>
  <si>
    <t>Travel sensor / positioner fault</t>
  </si>
  <si>
    <t>WO-550040</t>
  </si>
  <si>
    <t>POS</t>
  </si>
  <si>
    <t>POS-SUC-UNK-OPR-CLN</t>
  </si>
  <si>
    <t>EV-2024-000041</t>
  </si>
  <si>
    <t>PMP-103</t>
  </si>
  <si>
    <t>FM-PMP-DRY-01</t>
  </si>
  <si>
    <t>Dry running / loss of suction</t>
  </si>
  <si>
    <t>WO-550041</t>
  </si>
  <si>
    <t>UNK-DE-UNK-OPR-CAL</t>
  </si>
  <si>
    <t>EV-2024-000042</t>
  </si>
  <si>
    <t>CMP-205B</t>
  </si>
  <si>
    <t>FM-CMP-SRG-01</t>
  </si>
  <si>
    <t>Surge / operating instability</t>
  </si>
  <si>
    <t>WO-550042</t>
  </si>
  <si>
    <t>inspected; issue corrected</t>
  </si>
  <si>
    <t>UNK-TB-UNK-OPR-ADJ</t>
  </si>
  <si>
    <t>EV-2024-000043</t>
  </si>
  <si>
    <t>WO-550043</t>
  </si>
  <si>
    <t>BRG-NDE-UNK-MEC-RPL</t>
  </si>
  <si>
    <t>EV-2024-000044</t>
  </si>
  <si>
    <t>WO-550044</t>
  </si>
  <si>
    <t>EV-2024-000045</t>
  </si>
  <si>
    <t>WO-550045</t>
  </si>
  <si>
    <t>BRG-SUC-UNK-MEC-RPL</t>
  </si>
  <si>
    <t>EV-2024-000046</t>
  </si>
  <si>
    <t>CV-402</t>
  </si>
  <si>
    <t>WO-550046</t>
  </si>
  <si>
    <t>POS-SUC-UNK-UNK-RPL</t>
  </si>
  <si>
    <t>EV-2024-000047</t>
  </si>
  <si>
    <t>WO-550047</t>
  </si>
  <si>
    <t>EV-2024-000048</t>
  </si>
  <si>
    <t>FM-CMP-VIB-01</t>
  </si>
  <si>
    <t>High vibration shutdown</t>
  </si>
  <si>
    <t>WO-550048</t>
  </si>
  <si>
    <t>UNK-DE-UNK-MEC-ADJ</t>
  </si>
  <si>
    <t>EV-2024-000049</t>
  </si>
  <si>
    <t>WO-550049</t>
  </si>
  <si>
    <t>EV-2024-000050</t>
  </si>
  <si>
    <t>WO-550050</t>
  </si>
  <si>
    <t>UNK-SUC-TRP-OPR-RPL</t>
  </si>
  <si>
    <t>EV-2024-000051</t>
  </si>
  <si>
    <t>WO-550051</t>
  </si>
  <si>
    <t>checked - abnormal - fixed</t>
  </si>
  <si>
    <t>UNK-DE-UNK-MEC-RPL</t>
  </si>
  <si>
    <t>EV-2024-000052</t>
  </si>
  <si>
    <t>WO-550052</t>
  </si>
  <si>
    <t>UNK-TB-UNK-OPR-RPL</t>
  </si>
  <si>
    <t>EV-2024-000053</t>
  </si>
  <si>
    <t>MTR-308</t>
  </si>
  <si>
    <t>WO-550053</t>
  </si>
  <si>
    <t>UNK-SUC-OHT-ELC-CLN</t>
  </si>
  <si>
    <t>EV-2024-000054</t>
  </si>
  <si>
    <t>CMP-203</t>
  </si>
  <si>
    <t>FM-CMP-OHT-01</t>
  </si>
  <si>
    <t>Overheat trip</t>
  </si>
  <si>
    <t>CA-ENV-COR</t>
  </si>
  <si>
    <t>Environment</t>
  </si>
  <si>
    <t>WO-550054</t>
  </si>
  <si>
    <t>UNK-DIS-OHT-UNK-ADJ</t>
  </si>
  <si>
    <t>EV-2024-000055</t>
  </si>
  <si>
    <t>WO-550055</t>
  </si>
  <si>
    <t>IMP-DIS-UNK-UNK-RPL</t>
  </si>
  <si>
    <t>EV-2024-000056</t>
  </si>
  <si>
    <t>CV-410</t>
  </si>
  <si>
    <t>WO-550056</t>
  </si>
  <si>
    <t>EV-2024-000057</t>
  </si>
  <si>
    <t>WO-550057</t>
  </si>
  <si>
    <t>POS-NDE-UNK-UNK-RPL</t>
  </si>
  <si>
    <t>EV-2024-000058</t>
  </si>
  <si>
    <t>PMP-114B</t>
  </si>
  <si>
    <t>WO-550058</t>
  </si>
  <si>
    <t>SEA-DIS-LEK-MEC-RPL</t>
  </si>
  <si>
    <t>EV-2024-000059</t>
  </si>
  <si>
    <t>FM-MTR-TERM-01</t>
  </si>
  <si>
    <t>Terminal/connection looseness</t>
  </si>
  <si>
    <t>WO-550059</t>
  </si>
  <si>
    <t>UNK-TB-UNK-OPR-CLN</t>
  </si>
  <si>
    <t>EV-2024-000060</t>
  </si>
  <si>
    <t>WO-550060</t>
  </si>
  <si>
    <t>UNK-DE-UNK-UNK-RPL</t>
  </si>
  <si>
    <t>EV-2024-000061</t>
  </si>
  <si>
    <t>PMP-111A</t>
  </si>
  <si>
    <t>WO-550061</t>
  </si>
  <si>
    <t>EV-2024-000062</t>
  </si>
  <si>
    <t>WO-550062</t>
  </si>
  <si>
    <t>UNK-NDE-OHT-UNK-RPL</t>
  </si>
  <si>
    <t>EV-2024-000063</t>
  </si>
  <si>
    <t>WO-550063</t>
  </si>
  <si>
    <t>UNK-DE-UNK-OPR-REP</t>
  </si>
  <si>
    <t>EV-2024-000064</t>
  </si>
  <si>
    <t>PMP-105A</t>
  </si>
  <si>
    <t>WO-550064</t>
  </si>
  <si>
    <t>UNK-DE-UNK-OPR-ADJ</t>
  </si>
  <si>
    <t>EV-2024-000065</t>
  </si>
  <si>
    <t>WO-550065</t>
  </si>
  <si>
    <t>EV-2024-000066</t>
  </si>
  <si>
    <t>WO-550066</t>
  </si>
  <si>
    <t>UNK-TB-DRF-UNK-CAL</t>
  </si>
  <si>
    <t>EV-2024-000067</t>
  </si>
  <si>
    <t>WO-550067</t>
  </si>
  <si>
    <t>EV-2024-000068</t>
  </si>
  <si>
    <t>MTR-312</t>
  </si>
  <si>
    <t>WO-550068</t>
  </si>
  <si>
    <t>UNK-DIS-OHT-ELC-CLN</t>
  </si>
  <si>
    <t>EV-2024-000069</t>
  </si>
  <si>
    <t>WO-550069</t>
  </si>
  <si>
    <t>EV-2024-000070</t>
  </si>
  <si>
    <t>WO-550070</t>
  </si>
  <si>
    <t>IMP-DIS-UNK-ELC-ADJ</t>
  </si>
  <si>
    <t>EV-2024-000071</t>
  </si>
  <si>
    <t>CMP-206B</t>
  </si>
  <si>
    <t>WO-550071</t>
  </si>
  <si>
    <t>EV-2024-000072</t>
  </si>
  <si>
    <t>WO-550072</t>
  </si>
  <si>
    <t>EV-2024-000073</t>
  </si>
  <si>
    <t>WO-550073</t>
  </si>
  <si>
    <t>EV-2024-000074</t>
  </si>
  <si>
    <t>WO-550074</t>
  </si>
  <si>
    <t>SEA-SUC-LEK-MEC-RPL</t>
  </si>
  <si>
    <t>EV-2024-000075</t>
  </si>
  <si>
    <t>WO-550075</t>
  </si>
  <si>
    <t>UNK-TB-UNK-ELC-ADJ</t>
  </si>
  <si>
    <t>EV-2024-000076</t>
  </si>
  <si>
    <t>CV-406</t>
  </si>
  <si>
    <t>WO-550076</t>
  </si>
  <si>
    <t>UNK-DIS-UNK-UNK-ADJ</t>
  </si>
  <si>
    <t>EV-2024-000077</t>
  </si>
  <si>
    <t>WO-550077</t>
  </si>
  <si>
    <t>EV-2024-000078</t>
  </si>
  <si>
    <t>FM-INS-SEN-01</t>
  </si>
  <si>
    <t>Sensor element failure (RTD/TC)</t>
  </si>
  <si>
    <t>WO-550078</t>
  </si>
  <si>
    <t>UNK-DE-UNK-UNK-CLN</t>
  </si>
  <si>
    <t>EV-2024-000079</t>
  </si>
  <si>
    <t>MTR-309</t>
  </si>
  <si>
    <t>WO-550079</t>
  </si>
  <si>
    <t>WDG-TB-UNK-ELC-REP</t>
  </si>
  <si>
    <t>EV-2024-000080</t>
  </si>
  <si>
    <t>WO-550080</t>
  </si>
  <si>
    <t>EV-2024-000081</t>
  </si>
  <si>
    <t>WO-550081</t>
  </si>
  <si>
    <t>UNK-TB-UNK-MEC-RPL</t>
  </si>
  <si>
    <t>EV-2024-000082</t>
  </si>
  <si>
    <t>PMP-113B</t>
  </si>
  <si>
    <t>WO-550082</t>
  </si>
  <si>
    <t>EV-2024-000083</t>
  </si>
  <si>
    <t>WO-550083</t>
  </si>
  <si>
    <t>UNK-NDE-UNK-ELC-REP</t>
  </si>
  <si>
    <t>EV-2024-000084</t>
  </si>
  <si>
    <t>FM-CV-PLG-01</t>
  </si>
  <si>
    <t>Plug/trim erosion (high dP)</t>
  </si>
  <si>
    <t>WO-550084</t>
  </si>
  <si>
    <t>UNK-DE-UNK-UNK-CAL</t>
  </si>
  <si>
    <t>EV-2024-000085</t>
  </si>
  <si>
    <t>FM-PMP-ALN-01</t>
  </si>
  <si>
    <t>Misalignment / coupling wear</t>
  </si>
  <si>
    <t>WO-550085</t>
  </si>
  <si>
    <t>UNK-SUC-UNK-MEC-ADJ</t>
  </si>
  <si>
    <t>EV-2024-000086</t>
  </si>
  <si>
    <t>WO-550086</t>
  </si>
  <si>
    <t>EV-2024-000087</t>
  </si>
  <si>
    <t>WO-550087</t>
  </si>
  <si>
    <t>UNK-DIS-LEK-UNK-ADJ</t>
  </si>
  <si>
    <t>EV-2024-000088</t>
  </si>
  <si>
    <t>MTR-301</t>
  </si>
  <si>
    <t>WO-550088</t>
  </si>
  <si>
    <t>UNK-TB-OHT-ELC-REP</t>
  </si>
  <si>
    <t>EV-2024-000089</t>
  </si>
  <si>
    <t>WO-550089</t>
  </si>
  <si>
    <t>EV-2024-000090</t>
  </si>
  <si>
    <t>WO-550090</t>
  </si>
  <si>
    <t>UNK-DE-TRP-MEC-RPL</t>
  </si>
  <si>
    <t>EV-2024-000091</t>
  </si>
  <si>
    <t>WO-550091</t>
  </si>
  <si>
    <t>SEA-NDE-LEK-MEC-RPL</t>
  </si>
  <si>
    <t>EV-2024-000092</t>
  </si>
  <si>
    <t>WO-550092</t>
  </si>
  <si>
    <t>UNK-DIS-LEK-OPR-ADJ</t>
  </si>
  <si>
    <t>EV-2024-000093</t>
  </si>
  <si>
    <t>WO-550093</t>
  </si>
  <si>
    <t>EV-2024-000094</t>
  </si>
  <si>
    <t>WO-550094</t>
  </si>
  <si>
    <t>BRG-SUC-UNK-UNK-ADJ</t>
  </si>
  <si>
    <t>EV-2024-000095</t>
  </si>
  <si>
    <t>WO-550095</t>
  </si>
  <si>
    <t>UNK-DE-DRF-UNK-CAL</t>
  </si>
  <si>
    <t>EV-2024-000096</t>
  </si>
  <si>
    <t>WO-550096</t>
  </si>
  <si>
    <t>EV-2024-000097</t>
  </si>
  <si>
    <t>WO-550097</t>
  </si>
  <si>
    <t>EV-2024-000098</t>
  </si>
  <si>
    <t>WO-550098</t>
  </si>
  <si>
    <t>EV-2024-000099</t>
  </si>
  <si>
    <t>WO-550099</t>
  </si>
  <si>
    <t>UNK-NDE-UNK-MEC-RPL</t>
  </si>
  <si>
    <t>EV-2024-000100</t>
  </si>
  <si>
    <t>WO-550100</t>
  </si>
  <si>
    <t>EV-2024-000101</t>
  </si>
  <si>
    <t>WO-550101</t>
  </si>
  <si>
    <t>WDG-NDE-UNK-OPR-CLN</t>
  </si>
  <si>
    <t>EV-2024-000102</t>
  </si>
  <si>
    <t>WO-550102</t>
  </si>
  <si>
    <t>EV-2024-000103</t>
  </si>
  <si>
    <t>WO-550103</t>
  </si>
  <si>
    <t>EV-2024-000104</t>
  </si>
  <si>
    <t>WO-550104</t>
  </si>
  <si>
    <t>EV-2024-000105</t>
  </si>
  <si>
    <t>WO-550105</t>
  </si>
  <si>
    <t>EV-2024-000106</t>
  </si>
  <si>
    <t>WO-550106</t>
  </si>
  <si>
    <t>EV-2024-000107</t>
  </si>
  <si>
    <t>WO-550107</t>
  </si>
  <si>
    <t>UNK-SUC-LEK-UNK-CLN</t>
  </si>
  <si>
    <t>EV-2024-000108</t>
  </si>
  <si>
    <t>MTR-304</t>
  </si>
  <si>
    <t>WO-550108</t>
  </si>
  <si>
    <t>UNK-NDE-OHT-ELC-REP</t>
  </si>
  <si>
    <t>EV-2024-000109</t>
  </si>
  <si>
    <t>WO-550109</t>
  </si>
  <si>
    <t>EV-2024-000110</t>
  </si>
  <si>
    <t>TX-502</t>
  </si>
  <si>
    <t>WO-550110</t>
  </si>
  <si>
    <t>UNK-NDE-DRF-UNK-CAL</t>
  </si>
  <si>
    <t>EV-2024-000111</t>
  </si>
  <si>
    <t>WO-550111</t>
  </si>
  <si>
    <t>EV-2024-000112</t>
  </si>
  <si>
    <t>TX-505</t>
  </si>
  <si>
    <t>WO-550112</t>
  </si>
  <si>
    <t>EV-2024-000113</t>
  </si>
  <si>
    <t>WO-550113</t>
  </si>
  <si>
    <t>UNK-DE-LEK-MEC-RPL</t>
  </si>
  <si>
    <t>EV-2024-000114</t>
  </si>
  <si>
    <t>CMP-204</t>
  </si>
  <si>
    <t>FM-CMP-INT-01</t>
  </si>
  <si>
    <t>Intercooler / aftercooler fouling</t>
  </si>
  <si>
    <t>WO-550114</t>
  </si>
  <si>
    <t>UNK-TB-UNK-UNK-CLN</t>
  </si>
  <si>
    <t>EV-2024-000115</t>
  </si>
  <si>
    <t>WO-550115</t>
  </si>
  <si>
    <t>EV-2024-000116</t>
  </si>
  <si>
    <t>WO-550116</t>
  </si>
  <si>
    <t>UNK-SUC-LEK-MEC-CLN</t>
  </si>
  <si>
    <t>EV-2024-000117</t>
  </si>
  <si>
    <t>WO-550117</t>
  </si>
  <si>
    <t>UNK-TB-UNK-MEC-CAL</t>
  </si>
  <si>
    <t>EV-2024-000118</t>
  </si>
  <si>
    <t>WO-550118</t>
  </si>
  <si>
    <t>UNK-SUC-UNK-UNK-ADJ</t>
  </si>
  <si>
    <t>EV-2024-000119</t>
  </si>
  <si>
    <t>WO-550119</t>
  </si>
  <si>
    <t>EV-2024-000120</t>
  </si>
  <si>
    <t>WO-550120</t>
  </si>
  <si>
    <t>UNK-SUC-DRF-UNK-CAL</t>
  </si>
  <si>
    <t>EV-2024-000121</t>
  </si>
  <si>
    <t>FM-MTR-OVL-01</t>
  </si>
  <si>
    <t>Overload / thermal trip</t>
  </si>
  <si>
    <t>WO-550121</t>
  </si>
  <si>
    <t>EV-2024-000122</t>
  </si>
  <si>
    <t>WO-550122</t>
  </si>
  <si>
    <t>EV-2024-000123</t>
  </si>
  <si>
    <t>WO-550123</t>
  </si>
  <si>
    <t>EV-2024-000124</t>
  </si>
  <si>
    <t>WO-550124</t>
  </si>
  <si>
    <t>UNK-SUC-UNK-UNK-CLN</t>
  </si>
  <si>
    <t>EV-2024-000125</t>
  </si>
  <si>
    <t>CV-405</t>
  </si>
  <si>
    <t>WO-550125</t>
  </si>
  <si>
    <t>EV-2024-000126</t>
  </si>
  <si>
    <t>WO-550126</t>
  </si>
  <si>
    <t>EV-2024-000127</t>
  </si>
  <si>
    <t>WO-550127</t>
  </si>
  <si>
    <t>UNK-NDE-TRP-UNK-ADJ</t>
  </si>
  <si>
    <t>EV-2024-000128</t>
  </si>
  <si>
    <t>WO-550128</t>
  </si>
  <si>
    <t>UNK-DIS-UNK-MEC-REP</t>
  </si>
  <si>
    <t>EV-2024-000129</t>
  </si>
  <si>
    <t>WO-550129</t>
  </si>
  <si>
    <t>EV-2024-000130</t>
  </si>
  <si>
    <t>WO-550130</t>
  </si>
  <si>
    <t>EV-2024-000131</t>
  </si>
  <si>
    <t>WO-550131</t>
  </si>
  <si>
    <t>EV-2024-000132</t>
  </si>
  <si>
    <t>WO-550132</t>
  </si>
  <si>
    <t>EV-2024-000133</t>
  </si>
  <si>
    <t>WO-550133</t>
  </si>
  <si>
    <t>EV-2024-000134</t>
  </si>
  <si>
    <t>WO-550134</t>
  </si>
  <si>
    <t>EV-2024-000135</t>
  </si>
  <si>
    <t>WO-550135</t>
  </si>
  <si>
    <t>EV-2024-000136</t>
  </si>
  <si>
    <t>WO-550136</t>
  </si>
  <si>
    <t>UNK-SUC-UNK-ELC-REP</t>
  </si>
  <si>
    <t>EV-2024-000137</t>
  </si>
  <si>
    <t>WO-550137</t>
  </si>
  <si>
    <t>WDG-SUC-UNK-ELC-REP</t>
  </si>
  <si>
    <t>EV-2024-000138</t>
  </si>
  <si>
    <t>WO-550138</t>
  </si>
  <si>
    <t>EV-2024-000139</t>
  </si>
  <si>
    <t>WO-550139</t>
  </si>
  <si>
    <t>EV-2024-000140</t>
  </si>
  <si>
    <t>WO-550140</t>
  </si>
  <si>
    <t>UNK-DIS-UNK-ELC-CAL</t>
  </si>
  <si>
    <t>EV-2024-000141</t>
  </si>
  <si>
    <t>WO-550141</t>
  </si>
  <si>
    <t>UNK-DIS-UNK-ELC-RPL</t>
  </si>
  <si>
    <t>EV-2024-000142</t>
  </si>
  <si>
    <t>WO-550142</t>
  </si>
  <si>
    <t>EV-2024-000143</t>
  </si>
  <si>
    <t>WO-550143</t>
  </si>
  <si>
    <t>EV-2024-000144</t>
  </si>
  <si>
    <t>WO-550144</t>
  </si>
  <si>
    <t>EV-2024-000145</t>
  </si>
  <si>
    <t>WO-550145</t>
  </si>
  <si>
    <t>EV-2024-000146</t>
  </si>
  <si>
    <t>WO-550146</t>
  </si>
  <si>
    <t>EV-2024-000147</t>
  </si>
  <si>
    <t>WO-550147</t>
  </si>
  <si>
    <t>SEA-TB-LEK-OPR-RPL</t>
  </si>
  <si>
    <t>EV-2024-000148</t>
  </si>
  <si>
    <t>WO-550148</t>
  </si>
  <si>
    <t>EV-2024-000149</t>
  </si>
  <si>
    <t>WO-550149</t>
  </si>
  <si>
    <t>WDG-TB-UNK-ELC-CLN</t>
  </si>
  <si>
    <t>EV-2024-000150</t>
  </si>
  <si>
    <t>WO-550150</t>
  </si>
  <si>
    <t>EV-2024-000151</t>
  </si>
  <si>
    <t>WO-550151</t>
  </si>
  <si>
    <t>IMP-NDE-UNK-UNK-RPL</t>
  </si>
  <si>
    <t>EV-2024-000152</t>
  </si>
  <si>
    <t>WO-550152</t>
  </si>
  <si>
    <t>POS-NDE-UNK-MEC-CAL</t>
  </si>
  <si>
    <t>EV-2024-000153</t>
  </si>
  <si>
    <t>WO-550153</t>
  </si>
  <si>
    <t>UNK-NDE-UNK-OPR-RPL</t>
  </si>
  <si>
    <t>EV-2024-000154</t>
  </si>
  <si>
    <t>WO-550154</t>
  </si>
  <si>
    <t>POS-DIS-UNK-UNK-RPL</t>
  </si>
  <si>
    <t>EV-2024-000155</t>
  </si>
  <si>
    <t>WO-550155</t>
  </si>
  <si>
    <t>UNK-DE-UNK-UNK-ADJ</t>
  </si>
  <si>
    <t>EV-2024-000156</t>
  </si>
  <si>
    <t>WO-550156</t>
  </si>
  <si>
    <t>POS-NDE-UNK-OPR-RPL</t>
  </si>
  <si>
    <t>EV-2024-000157</t>
  </si>
  <si>
    <t>FM-CMP-LKG-01</t>
  </si>
  <si>
    <t>Gas/air leakage (seals, piping)</t>
  </si>
  <si>
    <t>WO-550157</t>
  </si>
  <si>
    <t>SEA-TB-LEK-UNK-RPL</t>
  </si>
  <si>
    <t>EV-2024-000158</t>
  </si>
  <si>
    <t>WO-550158</t>
  </si>
  <si>
    <t>BRG-DE-UNK-UNK-RPL</t>
  </si>
  <si>
    <t>EV-2024-000159</t>
  </si>
  <si>
    <t>WO-550159</t>
  </si>
  <si>
    <t>EV-2024-000160</t>
  </si>
  <si>
    <t>WO-550160</t>
  </si>
  <si>
    <t>UNK-SUC-UNK-ELC-CLN</t>
  </si>
  <si>
    <t>EV-2024-000161</t>
  </si>
  <si>
    <t>WO-550161</t>
  </si>
  <si>
    <t>UNK-TB-LEK-UNK-RPL</t>
  </si>
  <si>
    <t>EV-2024-000162</t>
  </si>
  <si>
    <t>WO-550162</t>
  </si>
  <si>
    <t>EV-2024-000163</t>
  </si>
  <si>
    <t>WO-550163</t>
  </si>
  <si>
    <t>UNK-DE-LEK-UNK-RPL</t>
  </si>
  <si>
    <t>EV-2024-000164</t>
  </si>
  <si>
    <t>WO-550164</t>
  </si>
  <si>
    <t>UNK-DIS-UNK-MEC-ADJ</t>
  </si>
  <si>
    <t>EV-2024-000165</t>
  </si>
  <si>
    <t>WO-550165</t>
  </si>
  <si>
    <t>EV-2024-000166</t>
  </si>
  <si>
    <t>WO-550166</t>
  </si>
  <si>
    <t>EV-2024-000167</t>
  </si>
  <si>
    <t>PMP-102B</t>
  </si>
  <si>
    <t>WO-550167</t>
  </si>
  <si>
    <t>EV-2024-000168</t>
  </si>
  <si>
    <t>WO-550168</t>
  </si>
  <si>
    <t>UNK-SUC-TRP-MEC-ADJ</t>
  </si>
  <si>
    <t>EV-2024-000169</t>
  </si>
  <si>
    <t>WO-550169</t>
  </si>
  <si>
    <t>EV-2024-000170</t>
  </si>
  <si>
    <t>WO-550170</t>
  </si>
  <si>
    <t>BRG-DIS-UNK-UNK-CLN</t>
  </si>
  <si>
    <t>EV-2024-000171</t>
  </si>
  <si>
    <t>WO-550171</t>
  </si>
  <si>
    <t>EV-2024-000172</t>
  </si>
  <si>
    <t>WO-550172</t>
  </si>
  <si>
    <t>EV-2024-000173</t>
  </si>
  <si>
    <t>WO-550173</t>
  </si>
  <si>
    <t>EV-2024-000174</t>
  </si>
  <si>
    <t>WO-550174</t>
  </si>
  <si>
    <t>UNK-TB-OHT-OPR-ADJ</t>
  </si>
  <si>
    <t>EV-2024-000175</t>
  </si>
  <si>
    <t>WO-550175</t>
  </si>
  <si>
    <t>UNK-DE-OHT-OPR-CLN</t>
  </si>
  <si>
    <t>EV-2024-000176</t>
  </si>
  <si>
    <t>WO-550176</t>
  </si>
  <si>
    <t>UNK-SUC-TRP-OPR-ADJ</t>
  </si>
  <si>
    <t>EV-2024-000177</t>
  </si>
  <si>
    <t>WO-550177</t>
  </si>
  <si>
    <t>WDG-DIS-UNK-OPR-REP</t>
  </si>
  <si>
    <t>EV-2024-000178</t>
  </si>
  <si>
    <t>WO-550178</t>
  </si>
  <si>
    <t>UNK-TB-OHT-ELC-CLN</t>
  </si>
  <si>
    <t>EV-2024-000179</t>
  </si>
  <si>
    <t>WO-550179</t>
  </si>
  <si>
    <t>UNK-NDE-UNK-OPR-CLN</t>
  </si>
  <si>
    <t>EV-2024-000180</t>
  </si>
  <si>
    <t>CV-407</t>
  </si>
  <si>
    <t>WO-550180</t>
  </si>
  <si>
    <t>POS-DIS-UNK-UNK-CAL</t>
  </si>
  <si>
    <t>Weibull (Excel) — Step-by-Step Sheet (Section 11.3)</t>
  </si>
  <si>
    <t>Population Selector</t>
  </si>
  <si>
    <t>Note: This workbook is pre-filled for the default CLEAR_Code. If you change inputs, re-filter the data table below.</t>
  </si>
  <si>
    <t>Include Planned? (0/1)</t>
  </si>
  <si>
    <t>Min Data Quality (A/B/C)</t>
  </si>
  <si>
    <t>Prev_RTS</t>
  </si>
  <si>
    <t>TTF_hr</t>
  </si>
  <si>
    <t>Valid_Interval</t>
  </si>
  <si>
    <t>Comment</t>
  </si>
  <si>
    <t>TTF_for_Weibull</t>
  </si>
  <si>
    <t>Weibull Input (valid TTF only)</t>
  </si>
  <si>
    <t>Rank_i</t>
  </si>
  <si>
    <t>n</t>
  </si>
  <si>
    <t>MedianRank_F</t>
  </si>
  <si>
    <t>X=LN(TTF)</t>
  </si>
  <si>
    <t>Y=LN(LN(1/(1-F)))</t>
  </si>
  <si>
    <t>Weibull Parameters</t>
  </si>
  <si>
    <t>Beta (β)</t>
  </si>
  <si>
    <t>Intercept (b)</t>
  </si>
  <si>
    <t>Eta (η) [hr]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</si>
</sst>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0" fontId="3" fillId="0" borderId="0" xfId="0" applyFont="1"/>
    <xf numFmtId="0" fontId="3" fillId="3" borderId="0" xfId="0" applyFont="1" applyFill="1"/>
    <xf numFmtId="0" fontId="4" fillId="4" borderId="0" xfId="0" applyFont="1" applyFill="1"/>
    <xf numFmtId="0" fontId="0" fillId="0" borderId="1" xfId="0" applyBorder="1" applyAlignment="1">
      <alignment vertical="top" wrapText="1"/>
    </xf>
    <xf numFmtId="166" fontId="0" fillId="0" borderId="1" xfId="0" applyNumberFormat="1" applyBorder="1"/>
    <xf numFmtId="0" fontId="3" fillId="3" borderId="1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/>
    <xf numFmtId="0" fontId="0" fillId="5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Weibull Plot (Transformed) — X vs 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Data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WBL_11_3!$E$17:$E$116</c:f>
              <c:strCache>
                <c:ptCount val="2"/>
                <c:pt idx="0">
                  <c:v>7.8021</c:v>
                </c:pt>
                <c:pt idx="1">
                  <c:v>8.2241</c:v>
                </c:pt>
              </c:strCache>
            </c:strRef>
          </c:xVal>
          <c:yVal>
            <c:numRef>
              <c:f>WBL_11_3!$F$17:$F$116</c:f>
              <c:numCache>
                <c:formatCode>0.0000</c:formatCode>
                <c:ptCount val="100"/>
                <c:pt idx="0">
                  <c:v>-1.0646733274461584</c:v>
                </c:pt>
                <c:pt idx="1">
                  <c:v>0.20875548273706629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01-4F72-BBC7-E7C55D0C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= LN(TTF)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= LN(LN(1/(1-F)))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il" displayName="tblFail" ref="A1:AA181">
  <autoFilter ref="A1:AA181" xr:uid="{00000000-0009-0000-0100-000001000000}"/>
  <tableColumns count="27">
    <tableColumn id="1" xr3:uid="{00000000-0010-0000-0000-000001000000}" name="Plant"/>
    <tableColumn id="2" xr3:uid="{00000000-0010-0000-0000-000002000000}" name="Event_ID"/>
    <tableColumn id="3" xr3:uid="{00000000-0010-0000-0000-000003000000}" name="Asset_ID"/>
    <tableColumn id="4" xr3:uid="{00000000-0010-0000-0000-000004000000}" name="Event_Type"/>
    <tableColumn id="5" xr3:uid="{00000000-0010-0000-0000-000005000000}" name="Failure_Start"/>
    <tableColumn id="6" xr3:uid="{00000000-0010-0000-0000-000006000000}" name="Detection_Time"/>
    <tableColumn id="7" xr3:uid="{00000000-0010-0000-0000-000007000000}" name="Repair_Start"/>
    <tableColumn id="8" xr3:uid="{00000000-0010-0000-0000-000008000000}" name="Return_To_Service"/>
    <tableColumn id="9" xr3:uid="{00000000-0010-0000-0000-000009000000}" name="Downtime_hr"/>
    <tableColumn id="10" xr3:uid="{00000000-0010-0000-0000-00000A000000}" name="Planned_Flag"/>
    <tableColumn id="11" xr3:uid="{00000000-0010-0000-0000-00000B000000}" name="Production_Impact"/>
    <tableColumn id="12" xr3:uid="{00000000-0010-0000-0000-00000C000000}" name="Failure_Mode_Code"/>
    <tableColumn id="13" xr3:uid="{00000000-0010-0000-0000-00000D000000}" name="Failure_Mode_Text"/>
    <tableColumn id="14" xr3:uid="{00000000-0010-0000-0000-00000E000000}" name="Cause_Code"/>
    <tableColumn id="15" xr3:uid="{00000000-0010-0000-0000-00000F000000}" name="Cause_Category"/>
    <tableColumn id="16" xr3:uid="{00000000-0010-0000-0000-000010000000}" name="Action_Code"/>
    <tableColumn id="17" xr3:uid="{00000000-0010-0000-0000-000011000000}" name="Action_Category"/>
    <tableColumn id="18" xr3:uid="{00000000-0010-0000-0000-000012000000}" name="Parts_Used_Flag"/>
    <tableColumn id="19" xr3:uid="{00000000-0010-0000-0000-000013000000}" name="WorkOrder_ID"/>
    <tableColumn id="20" xr3:uid="{00000000-0010-0000-0000-000014000000}" name="Comments"/>
    <tableColumn id="21" xr3:uid="{00000000-0010-0000-0000-000015000000}" name="Data_Quality_Flag"/>
    <tableColumn id="22" xr3:uid="{00000000-0010-0000-0000-000016000000}" name="Component_Code"/>
    <tableColumn id="23" xr3:uid="{00000000-0010-0000-0000-000017000000}" name="Location_Code"/>
    <tableColumn id="24" xr3:uid="{00000000-0010-0000-0000-000018000000}" name="Event_Code"/>
    <tableColumn id="25" xr3:uid="{00000000-0010-0000-0000-000019000000}" name="Agent_Code"/>
    <tableColumn id="26" xr3:uid="{00000000-0010-0000-0000-00001A000000}" name="Response_Code"/>
    <tableColumn id="27" xr3:uid="{00000000-0010-0000-0000-00001B000000}" name="CLEAR_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1"/>
  <sheetViews>
    <sheetView showGridLines="0" workbookViewId="0">
      <pane ySplit="1" topLeftCell="A2" activePane="bottomLeft" state="frozen"/>
      <selection pane="bottomLeft" activeCell="AB6" sqref="AB6"/>
    </sheetView>
  </sheetViews>
  <sheetFormatPr defaultRowHeight="14.5" x14ac:dyDescent="0.35"/>
  <cols>
    <col min="1" max="1" width="17.1796875" bestFit="1" customWidth="1"/>
    <col min="2" max="2" width="14.26953125" bestFit="1" customWidth="1"/>
    <col min="3" max="3" width="12.7265625" bestFit="1" customWidth="1"/>
    <col min="4" max="4" width="15.08984375" bestFit="1" customWidth="1"/>
    <col min="5" max="5" width="17.81640625" bestFit="1" customWidth="1"/>
    <col min="6" max="8" width="20" customWidth="1"/>
    <col min="9" max="9" width="16.90625" bestFit="1" customWidth="1"/>
    <col min="10" max="10" width="16.453125" bestFit="1" customWidth="1"/>
    <col min="11" max="11" width="21.6328125" bestFit="1" customWidth="1"/>
    <col min="12" max="12" width="22.36328125" bestFit="1" customWidth="1"/>
    <col min="13" max="13" width="40" customWidth="1"/>
    <col min="14" max="14" width="15.6328125" bestFit="1" customWidth="1"/>
    <col min="15" max="15" width="18.90625" bestFit="1" customWidth="1"/>
    <col min="16" max="16" width="16" bestFit="1" customWidth="1"/>
    <col min="17" max="18" width="19.26953125" bestFit="1" customWidth="1"/>
    <col min="19" max="19" width="14" customWidth="1"/>
    <col min="20" max="20" width="40" customWidth="1"/>
    <col min="21" max="21" width="20.7265625" bestFit="1" customWidth="1"/>
    <col min="22" max="22" width="20.6328125" bestFit="1" customWidth="1"/>
    <col min="23" max="23" width="17.81640625" bestFit="1" customWidth="1"/>
    <col min="24" max="24" width="15.36328125" bestFit="1" customWidth="1"/>
    <col min="25" max="25" width="15.54296875" bestFit="1" customWidth="1"/>
    <col min="26" max="26" width="18.7265625" bestFit="1" customWidth="1"/>
    <col min="27" max="27" width="21.72656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2" t="s">
        <v>28</v>
      </c>
      <c r="C2" s="2" t="s">
        <v>29</v>
      </c>
      <c r="D2" s="2" t="s">
        <v>30</v>
      </c>
      <c r="E2" s="3">
        <v>44942.766782407409</v>
      </c>
      <c r="F2" s="3">
        <v>44942.785532407397</v>
      </c>
      <c r="G2" s="3">
        <v>44942.816087962958</v>
      </c>
      <c r="H2" s="3">
        <v>44942.915799467592</v>
      </c>
      <c r="I2" s="4">
        <v>2.39</v>
      </c>
      <c r="J2" s="2">
        <v>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>
        <v>1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</row>
    <row r="3" spans="1:27" x14ac:dyDescent="0.35">
      <c r="A3" s="2" t="s">
        <v>27</v>
      </c>
      <c r="B3" s="2" t="s">
        <v>47</v>
      </c>
      <c r="C3" s="2" t="s">
        <v>48</v>
      </c>
      <c r="D3" s="2" t="s">
        <v>30</v>
      </c>
      <c r="E3" s="3">
        <v>44950.809652777767</v>
      </c>
      <c r="F3" s="3">
        <v>44950.823541666658</v>
      </c>
      <c r="G3" s="3">
        <v>44950.838819444441</v>
      </c>
      <c r="H3" s="3">
        <v>44951.17340521991</v>
      </c>
      <c r="I3" s="4">
        <v>8.0299999999999994</v>
      </c>
      <c r="J3" s="2">
        <v>1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>
        <v>0</v>
      </c>
      <c r="S3" s="2" t="s">
        <v>56</v>
      </c>
      <c r="T3" s="2" t="s">
        <v>57</v>
      </c>
      <c r="U3" s="2" t="s">
        <v>40</v>
      </c>
      <c r="V3" s="2" t="s">
        <v>41</v>
      </c>
      <c r="W3" s="2" t="s">
        <v>58</v>
      </c>
      <c r="X3" s="2" t="s">
        <v>41</v>
      </c>
      <c r="Y3" s="2" t="s">
        <v>41</v>
      </c>
      <c r="Z3" s="2" t="s">
        <v>59</v>
      </c>
      <c r="AA3" s="2" t="s">
        <v>60</v>
      </c>
    </row>
    <row r="4" spans="1:27" x14ac:dyDescent="0.35">
      <c r="A4" s="2" t="s">
        <v>27</v>
      </c>
      <c r="B4" s="2" t="s">
        <v>61</v>
      </c>
      <c r="C4" s="2" t="s">
        <v>62</v>
      </c>
      <c r="D4" s="2" t="s">
        <v>63</v>
      </c>
      <c r="E4" s="3">
        <v>44952.602777777778</v>
      </c>
      <c r="F4" s="3">
        <v>44952.61041666667</v>
      </c>
      <c r="G4" s="3">
        <v>44952.654861111107</v>
      </c>
      <c r="H4" s="3">
        <v>44952.748539270833</v>
      </c>
      <c r="I4" s="4">
        <v>2.25</v>
      </c>
      <c r="J4" s="2">
        <v>0</v>
      </c>
      <c r="K4" s="2" t="s">
        <v>49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36</v>
      </c>
      <c r="Q4" s="2" t="s">
        <v>37</v>
      </c>
      <c r="R4" s="2">
        <v>1</v>
      </c>
      <c r="S4" s="2" t="s">
        <v>68</v>
      </c>
      <c r="T4" s="2" t="s">
        <v>69</v>
      </c>
      <c r="U4" s="2" t="s">
        <v>70</v>
      </c>
      <c r="V4" s="2" t="s">
        <v>41</v>
      </c>
      <c r="W4" s="2" t="s">
        <v>42</v>
      </c>
      <c r="X4" s="2" t="s">
        <v>41</v>
      </c>
      <c r="Y4" s="2" t="s">
        <v>71</v>
      </c>
      <c r="Z4" s="2" t="s">
        <v>45</v>
      </c>
      <c r="AA4" s="2" t="s">
        <v>72</v>
      </c>
    </row>
    <row r="5" spans="1:27" x14ac:dyDescent="0.35">
      <c r="A5" s="2" t="s">
        <v>27</v>
      </c>
      <c r="B5" s="2" t="s">
        <v>73</v>
      </c>
      <c r="C5" s="2" t="s">
        <v>74</v>
      </c>
      <c r="D5" s="2" t="s">
        <v>30</v>
      </c>
      <c r="E5" s="3">
        <v>44956.759525462963</v>
      </c>
      <c r="F5" s="3">
        <v>44956.776886574073</v>
      </c>
      <c r="G5" s="3">
        <v>44956.831747685188</v>
      </c>
      <c r="H5" s="3">
        <v>44956.967553877323</v>
      </c>
      <c r="I5" s="4">
        <v>3.26</v>
      </c>
      <c r="J5" s="2">
        <v>0</v>
      </c>
      <c r="K5" s="2" t="s">
        <v>31</v>
      </c>
      <c r="L5" s="2" t="s">
        <v>75</v>
      </c>
      <c r="M5" s="2" t="s">
        <v>76</v>
      </c>
      <c r="N5" s="2" t="s">
        <v>77</v>
      </c>
      <c r="O5" s="2" t="s">
        <v>35</v>
      </c>
      <c r="P5" s="2" t="s">
        <v>78</v>
      </c>
      <c r="Q5" s="2" t="s">
        <v>79</v>
      </c>
      <c r="R5" s="2">
        <v>0</v>
      </c>
      <c r="S5" s="2" t="s">
        <v>80</v>
      </c>
      <c r="T5" s="2" t="s">
        <v>39</v>
      </c>
      <c r="U5" s="2" t="s">
        <v>40</v>
      </c>
      <c r="V5" s="2" t="s">
        <v>41</v>
      </c>
      <c r="W5" s="2" t="s">
        <v>81</v>
      </c>
      <c r="X5" s="2" t="s">
        <v>41</v>
      </c>
      <c r="Y5" s="2" t="s">
        <v>44</v>
      </c>
      <c r="Z5" s="2" t="s">
        <v>82</v>
      </c>
      <c r="AA5" s="2" t="s">
        <v>83</v>
      </c>
    </row>
    <row r="6" spans="1:27" x14ac:dyDescent="0.35">
      <c r="A6" s="2" t="s">
        <v>27</v>
      </c>
      <c r="B6" s="2" t="s">
        <v>84</v>
      </c>
      <c r="C6" s="2" t="s">
        <v>85</v>
      </c>
      <c r="D6" s="2" t="s">
        <v>30</v>
      </c>
      <c r="E6" s="3">
        <v>44957.939398148148</v>
      </c>
      <c r="F6" s="3">
        <v>44957.954675925917</v>
      </c>
      <c r="G6" s="3">
        <v>44957.989398148151</v>
      </c>
      <c r="H6" s="3">
        <v>44958.225818796287</v>
      </c>
      <c r="I6" s="4">
        <v>5.67</v>
      </c>
      <c r="J6" s="2">
        <v>1</v>
      </c>
      <c r="K6" s="2" t="s">
        <v>49</v>
      </c>
      <c r="L6" s="2" t="s">
        <v>86</v>
      </c>
      <c r="M6" s="2" t="s">
        <v>87</v>
      </c>
      <c r="N6" s="2" t="s">
        <v>66</v>
      </c>
      <c r="O6" s="2" t="s">
        <v>67</v>
      </c>
      <c r="P6" s="2" t="s">
        <v>88</v>
      </c>
      <c r="Q6" s="2" t="s">
        <v>55</v>
      </c>
      <c r="R6" s="2">
        <v>1</v>
      </c>
      <c r="S6" s="2" t="s">
        <v>89</v>
      </c>
      <c r="T6" s="2" t="s">
        <v>90</v>
      </c>
      <c r="U6" s="2" t="s">
        <v>40</v>
      </c>
      <c r="V6" s="2" t="s">
        <v>91</v>
      </c>
      <c r="W6" s="2" t="s">
        <v>42</v>
      </c>
      <c r="X6" s="2" t="s">
        <v>92</v>
      </c>
      <c r="Y6" s="2" t="s">
        <v>71</v>
      </c>
      <c r="Z6" s="2" t="s">
        <v>59</v>
      </c>
      <c r="AA6" s="2" t="s">
        <v>93</v>
      </c>
    </row>
    <row r="7" spans="1:27" x14ac:dyDescent="0.35">
      <c r="A7" s="2" t="s">
        <v>27</v>
      </c>
      <c r="B7" s="2" t="s">
        <v>94</v>
      </c>
      <c r="C7" s="2" t="s">
        <v>95</v>
      </c>
      <c r="D7" s="2" t="s">
        <v>63</v>
      </c>
      <c r="E7" s="3">
        <v>44958.387789351851</v>
      </c>
      <c r="F7" s="3">
        <v>44958.395428240743</v>
      </c>
      <c r="G7" s="3">
        <v>44958.413483796299</v>
      </c>
      <c r="H7" s="3">
        <v>44958.60196172454</v>
      </c>
      <c r="I7" s="4">
        <v>4.5199999999999996</v>
      </c>
      <c r="J7" s="2">
        <v>0</v>
      </c>
      <c r="K7" s="2" t="s">
        <v>96</v>
      </c>
      <c r="L7" s="2" t="s">
        <v>86</v>
      </c>
      <c r="M7" s="2" t="s">
        <v>87</v>
      </c>
      <c r="N7" s="2" t="s">
        <v>66</v>
      </c>
      <c r="O7" s="2" t="s">
        <v>67</v>
      </c>
      <c r="P7" s="2" t="s">
        <v>88</v>
      </c>
      <c r="Q7" s="2" t="s">
        <v>55</v>
      </c>
      <c r="R7" s="2">
        <v>0</v>
      </c>
      <c r="S7" s="2" t="s">
        <v>97</v>
      </c>
      <c r="T7" s="2" t="s">
        <v>98</v>
      </c>
      <c r="U7" s="2" t="s">
        <v>40</v>
      </c>
      <c r="V7" s="2" t="s">
        <v>91</v>
      </c>
      <c r="W7" s="2" t="s">
        <v>99</v>
      </c>
      <c r="X7" s="2" t="s">
        <v>92</v>
      </c>
      <c r="Y7" s="2" t="s">
        <v>71</v>
      </c>
      <c r="Z7" s="2" t="s">
        <v>59</v>
      </c>
      <c r="AA7" s="2" t="s">
        <v>100</v>
      </c>
    </row>
    <row r="8" spans="1:27" x14ac:dyDescent="0.35">
      <c r="A8" s="2" t="s">
        <v>27</v>
      </c>
      <c r="B8" s="2" t="s">
        <v>101</v>
      </c>
      <c r="C8" s="2" t="s">
        <v>102</v>
      </c>
      <c r="D8" s="2" t="s">
        <v>30</v>
      </c>
      <c r="E8" s="3">
        <v>44961.09175925926</v>
      </c>
      <c r="F8" s="3">
        <v>44961.102175925917</v>
      </c>
      <c r="G8" s="3">
        <v>44961.132731481477</v>
      </c>
      <c r="H8" s="3">
        <v>44961.304900706018</v>
      </c>
      <c r="I8" s="4">
        <v>4.13</v>
      </c>
      <c r="J8" s="2">
        <v>0</v>
      </c>
      <c r="K8" s="2" t="s">
        <v>96</v>
      </c>
      <c r="L8" s="2" t="s">
        <v>103</v>
      </c>
      <c r="M8" s="2" t="s">
        <v>104</v>
      </c>
      <c r="N8" s="2" t="s">
        <v>66</v>
      </c>
      <c r="O8" s="2" t="s">
        <v>67</v>
      </c>
      <c r="P8" s="2" t="s">
        <v>54</v>
      </c>
      <c r="Q8" s="2" t="s">
        <v>55</v>
      </c>
      <c r="R8" s="2">
        <v>1</v>
      </c>
      <c r="S8" s="2" t="s">
        <v>105</v>
      </c>
      <c r="T8" s="2" t="s">
        <v>57</v>
      </c>
      <c r="U8" s="2" t="s">
        <v>40</v>
      </c>
      <c r="V8" s="2" t="s">
        <v>106</v>
      </c>
      <c r="W8" s="2" t="s">
        <v>107</v>
      </c>
      <c r="X8" s="2" t="s">
        <v>41</v>
      </c>
      <c r="Y8" s="2" t="s">
        <v>71</v>
      </c>
      <c r="Z8" s="2" t="s">
        <v>59</v>
      </c>
      <c r="AA8" s="2" t="s">
        <v>108</v>
      </c>
    </row>
    <row r="9" spans="1:27" x14ac:dyDescent="0.35">
      <c r="A9" s="2" t="s">
        <v>27</v>
      </c>
      <c r="B9" s="2" t="s">
        <v>109</v>
      </c>
      <c r="C9" s="2" t="s">
        <v>110</v>
      </c>
      <c r="D9" s="2" t="s">
        <v>30</v>
      </c>
      <c r="E9" s="3">
        <v>44965.48265046296</v>
      </c>
      <c r="F9" s="3">
        <v>44965.489594907413</v>
      </c>
      <c r="G9" s="3">
        <v>44965.508344907408</v>
      </c>
      <c r="H9" s="3">
        <v>44965.549969814812</v>
      </c>
      <c r="I9" s="4">
        <v>1</v>
      </c>
      <c r="J9" s="2">
        <v>0</v>
      </c>
      <c r="K9" s="2"/>
      <c r="L9" s="2" t="s">
        <v>111</v>
      </c>
      <c r="M9" s="2" t="s">
        <v>112</v>
      </c>
      <c r="N9" s="2" t="s">
        <v>66</v>
      </c>
      <c r="O9" s="2" t="s">
        <v>67</v>
      </c>
      <c r="P9" s="2" t="s">
        <v>113</v>
      </c>
      <c r="Q9" s="2" t="s">
        <v>114</v>
      </c>
      <c r="R9" s="2">
        <v>0</v>
      </c>
      <c r="S9" s="2" t="s">
        <v>115</v>
      </c>
      <c r="T9" s="2" t="s">
        <v>116</v>
      </c>
      <c r="U9" s="2" t="s">
        <v>117</v>
      </c>
      <c r="V9" s="2" t="s">
        <v>41</v>
      </c>
      <c r="W9" s="2" t="s">
        <v>99</v>
      </c>
      <c r="X9" s="2" t="s">
        <v>41</v>
      </c>
      <c r="Y9" s="2" t="s">
        <v>71</v>
      </c>
      <c r="Z9" s="2" t="s">
        <v>118</v>
      </c>
      <c r="AA9" s="2" t="s">
        <v>119</v>
      </c>
    </row>
    <row r="10" spans="1:27" x14ac:dyDescent="0.35">
      <c r="A10" s="2" t="s">
        <v>27</v>
      </c>
      <c r="B10" s="2" t="s">
        <v>120</v>
      </c>
      <c r="C10" s="2" t="s">
        <v>121</v>
      </c>
      <c r="D10" s="2" t="s">
        <v>63</v>
      </c>
      <c r="E10" s="3">
        <v>44965.861724537041</v>
      </c>
      <c r="F10" s="3">
        <v>44965.886724537027</v>
      </c>
      <c r="G10" s="3">
        <v>44965.944363425922</v>
      </c>
      <c r="H10" s="3">
        <v>44966.307017418978</v>
      </c>
      <c r="I10" s="4">
        <v>8.6999999999999993</v>
      </c>
      <c r="J10" s="2">
        <v>0</v>
      </c>
      <c r="K10" s="2" t="s">
        <v>31</v>
      </c>
      <c r="L10" s="2" t="s">
        <v>103</v>
      </c>
      <c r="M10" s="2" t="s">
        <v>104</v>
      </c>
      <c r="N10" s="2" t="s">
        <v>66</v>
      </c>
      <c r="O10" s="2" t="s">
        <v>67</v>
      </c>
      <c r="P10" s="2" t="s">
        <v>54</v>
      </c>
      <c r="Q10" s="2" t="s">
        <v>55</v>
      </c>
      <c r="R10" s="2">
        <v>1</v>
      </c>
      <c r="S10" s="2" t="s">
        <v>122</v>
      </c>
      <c r="T10" s="2" t="s">
        <v>98</v>
      </c>
      <c r="U10" s="2" t="s">
        <v>40</v>
      </c>
      <c r="V10" s="2" t="s">
        <v>106</v>
      </c>
      <c r="W10" s="2" t="s">
        <v>42</v>
      </c>
      <c r="X10" s="2" t="s">
        <v>41</v>
      </c>
      <c r="Y10" s="2" t="s">
        <v>71</v>
      </c>
      <c r="Z10" s="2" t="s">
        <v>59</v>
      </c>
      <c r="AA10" s="2" t="s">
        <v>123</v>
      </c>
    </row>
    <row r="11" spans="1:27" x14ac:dyDescent="0.35">
      <c r="A11" s="2" t="s">
        <v>27</v>
      </c>
      <c r="B11" s="2" t="s">
        <v>124</v>
      </c>
      <c r="C11" s="2" t="s">
        <v>125</v>
      </c>
      <c r="D11" s="2" t="s">
        <v>30</v>
      </c>
      <c r="E11" s="3">
        <v>44988.761701388888</v>
      </c>
      <c r="F11" s="3">
        <v>44988.770729166667</v>
      </c>
      <c r="G11" s="3">
        <v>44988.813784722217</v>
      </c>
      <c r="H11" s="3">
        <v>44988.985470520827</v>
      </c>
      <c r="I11" s="4">
        <v>4.12</v>
      </c>
      <c r="J11" s="2">
        <v>0</v>
      </c>
      <c r="K11" s="2" t="s">
        <v>49</v>
      </c>
      <c r="L11" s="2" t="s">
        <v>126</v>
      </c>
      <c r="M11" s="2" t="s">
        <v>127</v>
      </c>
      <c r="N11" s="2" t="s">
        <v>128</v>
      </c>
      <c r="O11" s="2" t="s">
        <v>129</v>
      </c>
      <c r="P11" s="2" t="s">
        <v>130</v>
      </c>
      <c r="Q11" s="2" t="s">
        <v>55</v>
      </c>
      <c r="R11" s="2">
        <v>1</v>
      </c>
      <c r="S11" s="2" t="s">
        <v>131</v>
      </c>
      <c r="T11" s="2" t="s">
        <v>132</v>
      </c>
      <c r="U11" s="2" t="s">
        <v>40</v>
      </c>
      <c r="V11" s="2" t="s">
        <v>41</v>
      </c>
      <c r="W11" s="2" t="s">
        <v>58</v>
      </c>
      <c r="X11" s="2" t="s">
        <v>41</v>
      </c>
      <c r="Y11" s="2" t="s">
        <v>41</v>
      </c>
      <c r="Z11" s="2" t="s">
        <v>59</v>
      </c>
      <c r="AA11" s="2" t="s">
        <v>60</v>
      </c>
    </row>
    <row r="12" spans="1:27" x14ac:dyDescent="0.35">
      <c r="A12" s="2" t="s">
        <v>27</v>
      </c>
      <c r="B12" s="2" t="s">
        <v>133</v>
      </c>
      <c r="C12" s="2" t="s">
        <v>134</v>
      </c>
      <c r="D12" s="2" t="s">
        <v>30</v>
      </c>
      <c r="E12" s="3">
        <v>45001.713321759264</v>
      </c>
      <c r="F12" s="3">
        <v>45001.725821759261</v>
      </c>
      <c r="G12" s="3">
        <v>45001.74596064815</v>
      </c>
      <c r="H12" s="3">
        <v>45001.786237141197</v>
      </c>
      <c r="I12" s="4">
        <v>0.97</v>
      </c>
      <c r="J12" s="2">
        <v>0</v>
      </c>
      <c r="K12" s="2" t="s">
        <v>49</v>
      </c>
      <c r="L12" s="2" t="s">
        <v>135</v>
      </c>
      <c r="M12" s="2" t="s">
        <v>136</v>
      </c>
      <c r="N12" s="2" t="s">
        <v>77</v>
      </c>
      <c r="O12" s="2" t="s">
        <v>35</v>
      </c>
      <c r="P12" s="2" t="s">
        <v>113</v>
      </c>
      <c r="Q12" s="2" t="s">
        <v>114</v>
      </c>
      <c r="R12" s="2">
        <v>0</v>
      </c>
      <c r="S12" s="2" t="s">
        <v>137</v>
      </c>
      <c r="T12" s="2" t="s">
        <v>138</v>
      </c>
      <c r="U12" s="2" t="s">
        <v>40</v>
      </c>
      <c r="V12" s="2" t="s">
        <v>41</v>
      </c>
      <c r="W12" s="2" t="s">
        <v>99</v>
      </c>
      <c r="X12" s="2" t="s">
        <v>139</v>
      </c>
      <c r="Y12" s="2" t="s">
        <v>44</v>
      </c>
      <c r="Z12" s="2" t="s">
        <v>118</v>
      </c>
      <c r="AA12" s="2" t="s">
        <v>140</v>
      </c>
    </row>
    <row r="13" spans="1:27" x14ac:dyDescent="0.35">
      <c r="A13" s="2" t="s">
        <v>27</v>
      </c>
      <c r="B13" s="2" t="s">
        <v>141</v>
      </c>
      <c r="C13" s="2" t="s">
        <v>142</v>
      </c>
      <c r="D13" s="2" t="s">
        <v>63</v>
      </c>
      <c r="E13" s="3">
        <v>45014.642939814818</v>
      </c>
      <c r="F13" s="3">
        <v>45014.658217592587</v>
      </c>
      <c r="G13" s="3">
        <v>45014.692245370366</v>
      </c>
      <c r="H13" s="3">
        <v>45014.806774236109</v>
      </c>
      <c r="I13" s="4">
        <v>2.75</v>
      </c>
      <c r="J13" s="2">
        <v>0</v>
      </c>
      <c r="K13" s="2" t="s">
        <v>31</v>
      </c>
      <c r="L13" s="2" t="s">
        <v>50</v>
      </c>
      <c r="M13" s="2" t="s">
        <v>51</v>
      </c>
      <c r="N13" s="2" t="s">
        <v>66</v>
      </c>
      <c r="O13" s="2" t="s">
        <v>67</v>
      </c>
      <c r="P13" s="2" t="s">
        <v>143</v>
      </c>
      <c r="Q13" s="2" t="s">
        <v>55</v>
      </c>
      <c r="R13" s="2">
        <v>1</v>
      </c>
      <c r="S13" s="2" t="s">
        <v>144</v>
      </c>
      <c r="T13" s="2" t="s">
        <v>69</v>
      </c>
      <c r="U13" s="2" t="s">
        <v>40</v>
      </c>
      <c r="V13" s="2" t="s">
        <v>41</v>
      </c>
      <c r="W13" s="2" t="s">
        <v>107</v>
      </c>
      <c r="X13" s="2" t="s">
        <v>41</v>
      </c>
      <c r="Y13" s="2" t="s">
        <v>71</v>
      </c>
      <c r="Z13" s="2" t="s">
        <v>59</v>
      </c>
      <c r="AA13" s="2" t="s">
        <v>145</v>
      </c>
    </row>
    <row r="14" spans="1:27" x14ac:dyDescent="0.35">
      <c r="A14" s="2" t="s">
        <v>27</v>
      </c>
      <c r="B14" s="2" t="s">
        <v>146</v>
      </c>
      <c r="C14" s="2" t="s">
        <v>74</v>
      </c>
      <c r="D14" s="2" t="s">
        <v>30</v>
      </c>
      <c r="E14" s="3">
        <v>45025.692939814813</v>
      </c>
      <c r="F14" s="3">
        <v>45025.710300925923</v>
      </c>
      <c r="G14" s="3">
        <v>45025.795717592591</v>
      </c>
      <c r="H14" s="3">
        <v>45026.044455752322</v>
      </c>
      <c r="I14" s="4">
        <v>5.97</v>
      </c>
      <c r="J14" s="2">
        <v>0</v>
      </c>
      <c r="K14" s="2" t="s">
        <v>96</v>
      </c>
      <c r="L14" s="2" t="s">
        <v>147</v>
      </c>
      <c r="M14" s="2" t="s">
        <v>148</v>
      </c>
      <c r="N14" s="2" t="s">
        <v>66</v>
      </c>
      <c r="O14" s="2" t="s">
        <v>67</v>
      </c>
      <c r="P14" s="2" t="s">
        <v>54</v>
      </c>
      <c r="Q14" s="2" t="s">
        <v>55</v>
      </c>
      <c r="R14" s="2">
        <v>1</v>
      </c>
      <c r="S14" s="2" t="s">
        <v>149</v>
      </c>
      <c r="T14" s="2" t="s">
        <v>98</v>
      </c>
      <c r="U14" s="2" t="s">
        <v>40</v>
      </c>
      <c r="V14" s="2" t="s">
        <v>106</v>
      </c>
      <c r="W14" s="2" t="s">
        <v>99</v>
      </c>
      <c r="X14" s="2" t="s">
        <v>41</v>
      </c>
      <c r="Y14" s="2" t="s">
        <v>71</v>
      </c>
      <c r="Z14" s="2" t="s">
        <v>59</v>
      </c>
      <c r="AA14" s="2" t="s">
        <v>150</v>
      </c>
    </row>
    <row r="15" spans="1:27" x14ac:dyDescent="0.35">
      <c r="A15" s="2" t="s">
        <v>27</v>
      </c>
      <c r="B15" s="2" t="s">
        <v>151</v>
      </c>
      <c r="C15" s="2" t="s">
        <v>152</v>
      </c>
      <c r="D15" s="2" t="s">
        <v>30</v>
      </c>
      <c r="E15" s="3">
        <v>45033.931168981479</v>
      </c>
      <c r="F15" s="3">
        <v>45033.949918981481</v>
      </c>
      <c r="G15" s="3">
        <v>45033.967280092591</v>
      </c>
      <c r="H15" s="3">
        <v>45034.142275868056</v>
      </c>
      <c r="I15" s="4">
        <v>4.2</v>
      </c>
      <c r="J15" s="2">
        <v>0</v>
      </c>
      <c r="K15" s="2" t="s">
        <v>31</v>
      </c>
      <c r="L15" s="2" t="s">
        <v>32</v>
      </c>
      <c r="M15" s="2" t="s">
        <v>33</v>
      </c>
      <c r="N15" s="2" t="s">
        <v>34</v>
      </c>
      <c r="O15" s="2" t="s">
        <v>35</v>
      </c>
      <c r="P15" s="2" t="s">
        <v>113</v>
      </c>
      <c r="Q15" s="2" t="s">
        <v>114</v>
      </c>
      <c r="R15" s="2">
        <v>1</v>
      </c>
      <c r="S15" s="2" t="s">
        <v>153</v>
      </c>
      <c r="T15" s="2" t="s">
        <v>69</v>
      </c>
      <c r="U15" s="2" t="s">
        <v>70</v>
      </c>
      <c r="V15" s="2" t="s">
        <v>41</v>
      </c>
      <c r="W15" s="2" t="s">
        <v>58</v>
      </c>
      <c r="X15" s="2" t="s">
        <v>43</v>
      </c>
      <c r="Y15" s="2" t="s">
        <v>44</v>
      </c>
      <c r="Z15" s="2" t="s">
        <v>118</v>
      </c>
      <c r="AA15" s="2" t="s">
        <v>154</v>
      </c>
    </row>
    <row r="16" spans="1:27" x14ac:dyDescent="0.35">
      <c r="A16" s="2" t="s">
        <v>27</v>
      </c>
      <c r="B16" s="2" t="s">
        <v>155</v>
      </c>
      <c r="C16" s="2" t="s">
        <v>156</v>
      </c>
      <c r="D16" s="2" t="s">
        <v>30</v>
      </c>
      <c r="E16" s="3">
        <v>45043.070983796293</v>
      </c>
      <c r="F16" s="3">
        <v>45043.082094907397</v>
      </c>
      <c r="G16" s="3">
        <v>45043.096678240741</v>
      </c>
      <c r="H16" s="3">
        <v>45043.190140844898</v>
      </c>
      <c r="I16" s="4">
        <v>2.2400000000000002</v>
      </c>
      <c r="J16" s="2">
        <v>0</v>
      </c>
      <c r="K16" s="2" t="s">
        <v>49</v>
      </c>
      <c r="L16" s="2" t="s">
        <v>157</v>
      </c>
      <c r="M16" s="2" t="s">
        <v>158</v>
      </c>
      <c r="N16" s="2" t="s">
        <v>159</v>
      </c>
      <c r="O16" s="2" t="s">
        <v>160</v>
      </c>
      <c r="P16" s="2" t="s">
        <v>161</v>
      </c>
      <c r="Q16" s="2" t="s">
        <v>162</v>
      </c>
      <c r="R16" s="2">
        <v>1</v>
      </c>
      <c r="S16" s="2" t="s">
        <v>163</v>
      </c>
      <c r="T16" s="2" t="s">
        <v>164</v>
      </c>
      <c r="U16" s="2" t="s">
        <v>40</v>
      </c>
      <c r="V16" s="2" t="s">
        <v>41</v>
      </c>
      <c r="W16" s="2" t="s">
        <v>107</v>
      </c>
      <c r="X16" s="2" t="s">
        <v>165</v>
      </c>
      <c r="Y16" s="2" t="s">
        <v>41</v>
      </c>
      <c r="Z16" s="2" t="s">
        <v>166</v>
      </c>
      <c r="AA16" s="2" t="s">
        <v>167</v>
      </c>
    </row>
    <row r="17" spans="1:27" x14ac:dyDescent="0.35">
      <c r="A17" s="2" t="s">
        <v>27</v>
      </c>
      <c r="B17" s="2" t="s">
        <v>168</v>
      </c>
      <c r="C17" s="2" t="s">
        <v>169</v>
      </c>
      <c r="D17" s="2" t="s">
        <v>30</v>
      </c>
      <c r="E17" s="3">
        <v>45055.829861111109</v>
      </c>
      <c r="F17" s="3">
        <v>45055.870138888888</v>
      </c>
      <c r="G17" s="3">
        <v>45055.935416666667</v>
      </c>
      <c r="H17" s="3">
        <v>45056.158001840267</v>
      </c>
      <c r="I17" s="4">
        <v>5.34</v>
      </c>
      <c r="J17" s="2">
        <v>0</v>
      </c>
      <c r="K17" s="2" t="s">
        <v>96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88</v>
      </c>
      <c r="Q17" s="2" t="s">
        <v>55</v>
      </c>
      <c r="R17" s="2">
        <v>1</v>
      </c>
      <c r="S17" s="2" t="s">
        <v>170</v>
      </c>
      <c r="T17" s="2" t="s">
        <v>90</v>
      </c>
      <c r="U17" s="2" t="s">
        <v>40</v>
      </c>
      <c r="V17" s="2" t="s">
        <v>41</v>
      </c>
      <c r="W17" s="2" t="s">
        <v>99</v>
      </c>
      <c r="X17" s="2" t="s">
        <v>41</v>
      </c>
      <c r="Y17" s="2" t="s">
        <v>41</v>
      </c>
      <c r="Z17" s="2" t="s">
        <v>59</v>
      </c>
      <c r="AA17" s="2" t="s">
        <v>171</v>
      </c>
    </row>
    <row r="18" spans="1:27" x14ac:dyDescent="0.35">
      <c r="A18" s="2" t="s">
        <v>27</v>
      </c>
      <c r="B18" s="2" t="s">
        <v>172</v>
      </c>
      <c r="C18" s="2" t="s">
        <v>173</v>
      </c>
      <c r="D18" s="2" t="s">
        <v>30</v>
      </c>
      <c r="E18" s="3">
        <v>45056.047013888892</v>
      </c>
      <c r="F18" s="3">
        <v>45056.058125000003</v>
      </c>
      <c r="G18" s="3">
        <v>45056.106736111113</v>
      </c>
      <c r="H18" s="3">
        <v>45056.384767164353</v>
      </c>
      <c r="I18" s="4">
        <v>6.67</v>
      </c>
      <c r="J18" s="2">
        <v>0</v>
      </c>
      <c r="K18" s="2" t="s">
        <v>31</v>
      </c>
      <c r="L18" s="2" t="s">
        <v>174</v>
      </c>
      <c r="M18" s="2" t="s">
        <v>175</v>
      </c>
      <c r="N18" s="2" t="s">
        <v>66</v>
      </c>
      <c r="O18" s="2" t="s">
        <v>67</v>
      </c>
      <c r="P18" s="2" t="s">
        <v>54</v>
      </c>
      <c r="Q18" s="2" t="s">
        <v>55</v>
      </c>
      <c r="R18" s="2">
        <v>1</v>
      </c>
      <c r="S18" s="2" t="s">
        <v>176</v>
      </c>
      <c r="T18" s="2" t="s">
        <v>164</v>
      </c>
      <c r="U18" s="2" t="s">
        <v>40</v>
      </c>
      <c r="V18" s="2" t="s">
        <v>41</v>
      </c>
      <c r="W18" s="2" t="s">
        <v>107</v>
      </c>
      <c r="X18" s="2" t="s">
        <v>41</v>
      </c>
      <c r="Y18" s="2" t="s">
        <v>71</v>
      </c>
      <c r="Z18" s="2" t="s">
        <v>59</v>
      </c>
      <c r="AA18" s="2" t="s">
        <v>145</v>
      </c>
    </row>
    <row r="19" spans="1:27" x14ac:dyDescent="0.35">
      <c r="A19" s="2" t="s">
        <v>27</v>
      </c>
      <c r="B19" s="2" t="s">
        <v>177</v>
      </c>
      <c r="C19" s="2" t="s">
        <v>178</v>
      </c>
      <c r="D19" s="2" t="s">
        <v>63</v>
      </c>
      <c r="E19" s="3">
        <v>45058.537372685183</v>
      </c>
      <c r="F19" s="3">
        <v>45058.545706018522</v>
      </c>
      <c r="G19" s="3">
        <v>45058.58390046296</v>
      </c>
      <c r="H19" s="3">
        <v>45058.63441929398</v>
      </c>
      <c r="I19" s="4">
        <v>1.21</v>
      </c>
      <c r="J19" s="2">
        <v>1</v>
      </c>
      <c r="K19" s="2" t="s">
        <v>49</v>
      </c>
      <c r="L19" s="2" t="s">
        <v>157</v>
      </c>
      <c r="M19" s="2" t="s">
        <v>158</v>
      </c>
      <c r="N19" s="2" t="s">
        <v>159</v>
      </c>
      <c r="O19" s="2" t="s">
        <v>160</v>
      </c>
      <c r="P19" s="2" t="s">
        <v>161</v>
      </c>
      <c r="Q19" s="2" t="s">
        <v>162</v>
      </c>
      <c r="R19" s="2">
        <v>1</v>
      </c>
      <c r="S19" s="2" t="s">
        <v>179</v>
      </c>
      <c r="T19" s="2" t="s">
        <v>39</v>
      </c>
      <c r="U19" s="2" t="s">
        <v>40</v>
      </c>
      <c r="V19" s="2" t="s">
        <v>41</v>
      </c>
      <c r="W19" s="2" t="s">
        <v>107</v>
      </c>
      <c r="X19" s="2" t="s">
        <v>165</v>
      </c>
      <c r="Y19" s="2" t="s">
        <v>41</v>
      </c>
      <c r="Z19" s="2" t="s">
        <v>166</v>
      </c>
      <c r="AA19" s="2" t="s">
        <v>167</v>
      </c>
    </row>
    <row r="20" spans="1:27" x14ac:dyDescent="0.35">
      <c r="A20" s="2" t="s">
        <v>27</v>
      </c>
      <c r="B20" s="2" t="s">
        <v>180</v>
      </c>
      <c r="C20" s="2" t="s">
        <v>181</v>
      </c>
      <c r="D20" s="2" t="s">
        <v>30</v>
      </c>
      <c r="E20" s="3">
        <v>45059.124490740738</v>
      </c>
      <c r="F20" s="3">
        <v>45059.139074074083</v>
      </c>
      <c r="G20" s="3">
        <v>45059.216851851852</v>
      </c>
      <c r="H20" s="3">
        <v>45059.400173495371</v>
      </c>
      <c r="I20" s="4">
        <v>4.4000000000000004</v>
      </c>
      <c r="J20" s="2">
        <v>0</v>
      </c>
      <c r="K20" s="2" t="s">
        <v>31</v>
      </c>
      <c r="L20" s="2" t="s">
        <v>182</v>
      </c>
      <c r="M20" s="2" t="s">
        <v>183</v>
      </c>
      <c r="N20" s="2" t="s">
        <v>184</v>
      </c>
      <c r="O20" s="2" t="s">
        <v>185</v>
      </c>
      <c r="P20" s="2" t="s">
        <v>54</v>
      </c>
      <c r="Q20" s="2" t="s">
        <v>55</v>
      </c>
      <c r="R20" s="2">
        <v>0</v>
      </c>
      <c r="S20" s="2" t="s">
        <v>186</v>
      </c>
      <c r="T20" s="2" t="s">
        <v>69</v>
      </c>
      <c r="U20" s="2" t="s">
        <v>40</v>
      </c>
      <c r="V20" s="2" t="s">
        <v>106</v>
      </c>
      <c r="W20" s="2" t="s">
        <v>42</v>
      </c>
      <c r="X20" s="2" t="s">
        <v>41</v>
      </c>
      <c r="Y20" s="2" t="s">
        <v>187</v>
      </c>
      <c r="Z20" s="2" t="s">
        <v>59</v>
      </c>
      <c r="AA20" s="2" t="s">
        <v>188</v>
      </c>
    </row>
    <row r="21" spans="1:27" x14ac:dyDescent="0.35">
      <c r="A21" s="2" t="s">
        <v>27</v>
      </c>
      <c r="B21" s="2" t="s">
        <v>189</v>
      </c>
      <c r="C21" s="2" t="s">
        <v>190</v>
      </c>
      <c r="D21" s="2" t="s">
        <v>30</v>
      </c>
      <c r="E21" s="3">
        <v>45066.854016203702</v>
      </c>
      <c r="F21" s="3">
        <v>45066.86582175926</v>
      </c>
      <c r="G21" s="3">
        <v>45066.89984953704</v>
      </c>
      <c r="H21" s="3">
        <v>45066.924914328702</v>
      </c>
      <c r="I21" s="4">
        <v>0.6</v>
      </c>
      <c r="J21" s="2">
        <v>0</v>
      </c>
      <c r="K21" s="2" t="s">
        <v>49</v>
      </c>
      <c r="L21" s="2" t="s">
        <v>191</v>
      </c>
      <c r="M21" s="2" t="s">
        <v>192</v>
      </c>
      <c r="N21" s="2" t="s">
        <v>193</v>
      </c>
      <c r="O21" s="2" t="s">
        <v>67</v>
      </c>
      <c r="P21" s="2" t="s">
        <v>194</v>
      </c>
      <c r="Q21" s="2" t="s">
        <v>79</v>
      </c>
      <c r="R21" s="2">
        <v>1</v>
      </c>
      <c r="S21" s="2" t="s">
        <v>195</v>
      </c>
      <c r="T21" s="2" t="s">
        <v>57</v>
      </c>
      <c r="U21" s="2" t="s">
        <v>40</v>
      </c>
      <c r="V21" s="2" t="s">
        <v>41</v>
      </c>
      <c r="W21" s="2" t="s">
        <v>81</v>
      </c>
      <c r="X21" s="2" t="s">
        <v>41</v>
      </c>
      <c r="Y21" s="2" t="s">
        <v>71</v>
      </c>
      <c r="Z21" s="2" t="s">
        <v>82</v>
      </c>
      <c r="AA21" s="2" t="s">
        <v>196</v>
      </c>
    </row>
    <row r="22" spans="1:27" x14ac:dyDescent="0.35">
      <c r="A22" s="2" t="s">
        <v>27</v>
      </c>
      <c r="B22" s="2" t="s">
        <v>197</v>
      </c>
      <c r="C22" s="2" t="s">
        <v>198</v>
      </c>
      <c r="D22" s="2" t="s">
        <v>30</v>
      </c>
      <c r="E22" s="3">
        <v>45076.50340277778</v>
      </c>
      <c r="F22" s="3">
        <v>45076.508263888893</v>
      </c>
      <c r="G22" s="3">
        <v>45076.536736111113</v>
      </c>
      <c r="H22" s="3">
        <v>45076.591222662028</v>
      </c>
      <c r="I22" s="4">
        <v>1.31</v>
      </c>
      <c r="J22" s="2">
        <v>0</v>
      </c>
      <c r="K22" s="2" t="s">
        <v>31</v>
      </c>
      <c r="L22" s="2" t="s">
        <v>191</v>
      </c>
      <c r="M22" s="2" t="s">
        <v>192</v>
      </c>
      <c r="N22" s="2" t="s">
        <v>159</v>
      </c>
      <c r="O22" s="2" t="s">
        <v>160</v>
      </c>
      <c r="P22" s="2" t="s">
        <v>143</v>
      </c>
      <c r="Q22" s="2" t="s">
        <v>55</v>
      </c>
      <c r="R22" s="2">
        <v>0</v>
      </c>
      <c r="S22" s="2" t="s">
        <v>199</v>
      </c>
      <c r="T22" s="2" t="s">
        <v>164</v>
      </c>
      <c r="U22" s="2" t="s">
        <v>40</v>
      </c>
      <c r="V22" s="2" t="s">
        <v>41</v>
      </c>
      <c r="W22" s="2" t="s">
        <v>107</v>
      </c>
      <c r="X22" s="2" t="s">
        <v>41</v>
      </c>
      <c r="Y22" s="2" t="s">
        <v>41</v>
      </c>
      <c r="Z22" s="2" t="s">
        <v>59</v>
      </c>
      <c r="AA22" s="2" t="s">
        <v>200</v>
      </c>
    </row>
    <row r="23" spans="1:27" x14ac:dyDescent="0.35">
      <c r="A23" s="2" t="s">
        <v>27</v>
      </c>
      <c r="B23" s="2" t="s">
        <v>201</v>
      </c>
      <c r="C23" s="2" t="s">
        <v>102</v>
      </c>
      <c r="D23" s="2" t="s">
        <v>30</v>
      </c>
      <c r="E23" s="3">
        <v>45078.359317129631</v>
      </c>
      <c r="F23" s="3">
        <v>45078.37945601852</v>
      </c>
      <c r="G23" s="3">
        <v>45078.413483796299</v>
      </c>
      <c r="H23" s="3">
        <v>45079.057864016213</v>
      </c>
      <c r="I23" s="4">
        <v>15.47</v>
      </c>
      <c r="J23" s="2">
        <v>0</v>
      </c>
      <c r="K23" s="2" t="s">
        <v>96</v>
      </c>
      <c r="L23" s="2" t="s">
        <v>32</v>
      </c>
      <c r="M23" s="2" t="s">
        <v>33</v>
      </c>
      <c r="N23" s="2" t="s">
        <v>34</v>
      </c>
      <c r="O23" s="2" t="s">
        <v>35</v>
      </c>
      <c r="P23" s="2" t="s">
        <v>36</v>
      </c>
      <c r="Q23" s="2" t="s">
        <v>37</v>
      </c>
      <c r="R23" s="2">
        <v>1</v>
      </c>
      <c r="S23" s="2" t="s">
        <v>202</v>
      </c>
      <c r="T23" s="2" t="s">
        <v>90</v>
      </c>
      <c r="U23" s="2" t="s">
        <v>40</v>
      </c>
      <c r="V23" s="2" t="s">
        <v>41</v>
      </c>
      <c r="W23" s="2" t="s">
        <v>99</v>
      </c>
      <c r="X23" s="2" t="s">
        <v>43</v>
      </c>
      <c r="Y23" s="2" t="s">
        <v>44</v>
      </c>
      <c r="Z23" s="2" t="s">
        <v>45</v>
      </c>
      <c r="AA23" s="2" t="s">
        <v>203</v>
      </c>
    </row>
    <row r="24" spans="1:27" x14ac:dyDescent="0.35">
      <c r="A24" s="2" t="s">
        <v>27</v>
      </c>
      <c r="B24" s="2" t="s">
        <v>204</v>
      </c>
      <c r="C24" s="2" t="s">
        <v>95</v>
      </c>
      <c r="D24" s="2" t="s">
        <v>30</v>
      </c>
      <c r="E24" s="3">
        <v>45079.214861111112</v>
      </c>
      <c r="F24" s="3">
        <v>45079.231527777767</v>
      </c>
      <c r="G24" s="3">
        <v>45079.254444444443</v>
      </c>
      <c r="H24" s="3">
        <v>45079.749100000001</v>
      </c>
      <c r="I24" s="4">
        <v>11.87</v>
      </c>
      <c r="J24" s="2">
        <v>0</v>
      </c>
      <c r="K24" s="2" t="s">
        <v>96</v>
      </c>
      <c r="L24" s="2" t="s">
        <v>147</v>
      </c>
      <c r="M24" s="2" t="s">
        <v>148</v>
      </c>
      <c r="N24" s="2" t="s">
        <v>66</v>
      </c>
      <c r="O24" s="2" t="s">
        <v>67</v>
      </c>
      <c r="P24" s="2" t="s">
        <v>54</v>
      </c>
      <c r="Q24" s="2" t="s">
        <v>55</v>
      </c>
      <c r="R24" s="2">
        <v>0</v>
      </c>
      <c r="S24" s="2" t="s">
        <v>205</v>
      </c>
      <c r="T24" s="2" t="s">
        <v>132</v>
      </c>
      <c r="U24" s="2" t="s">
        <v>70</v>
      </c>
      <c r="V24" s="2" t="s">
        <v>106</v>
      </c>
      <c r="W24" s="2" t="s">
        <v>99</v>
      </c>
      <c r="X24" s="2" t="s">
        <v>41</v>
      </c>
      <c r="Y24" s="2" t="s">
        <v>71</v>
      </c>
      <c r="Z24" s="2" t="s">
        <v>59</v>
      </c>
      <c r="AA24" s="2" t="s">
        <v>150</v>
      </c>
    </row>
    <row r="25" spans="1:27" x14ac:dyDescent="0.35">
      <c r="A25" s="2" t="s">
        <v>27</v>
      </c>
      <c r="B25" s="2" t="s">
        <v>206</v>
      </c>
      <c r="C25" s="2" t="s">
        <v>207</v>
      </c>
      <c r="D25" s="2" t="s">
        <v>30</v>
      </c>
      <c r="E25" s="3">
        <v>45079.860856481479</v>
      </c>
      <c r="F25" s="3">
        <v>45079.864328703698</v>
      </c>
      <c r="G25" s="3">
        <v>45079.907384259262</v>
      </c>
      <c r="H25" s="3">
        <v>45080.332644004629</v>
      </c>
      <c r="I25" s="4">
        <v>10.210000000000001</v>
      </c>
      <c r="J25" s="2">
        <v>0</v>
      </c>
      <c r="K25" s="2" t="s">
        <v>31</v>
      </c>
      <c r="L25" s="2" t="s">
        <v>75</v>
      </c>
      <c r="M25" s="2" t="s">
        <v>76</v>
      </c>
      <c r="N25" s="2" t="s">
        <v>77</v>
      </c>
      <c r="O25" s="2" t="s">
        <v>35</v>
      </c>
      <c r="P25" s="2" t="s">
        <v>78</v>
      </c>
      <c r="Q25" s="2" t="s">
        <v>79</v>
      </c>
      <c r="R25" s="2">
        <v>0</v>
      </c>
      <c r="S25" s="2" t="s">
        <v>208</v>
      </c>
      <c r="T25" s="2" t="s">
        <v>164</v>
      </c>
      <c r="U25" s="2" t="s">
        <v>40</v>
      </c>
      <c r="V25" s="2" t="s">
        <v>41</v>
      </c>
      <c r="W25" s="2" t="s">
        <v>58</v>
      </c>
      <c r="X25" s="2" t="s">
        <v>41</v>
      </c>
      <c r="Y25" s="2" t="s">
        <v>44</v>
      </c>
      <c r="Z25" s="2" t="s">
        <v>82</v>
      </c>
      <c r="AA25" s="2" t="s">
        <v>209</v>
      </c>
    </row>
    <row r="26" spans="1:27" x14ac:dyDescent="0.35">
      <c r="A26" s="2" t="s">
        <v>27</v>
      </c>
      <c r="B26" s="2" t="s">
        <v>210</v>
      </c>
      <c r="C26" s="2" t="s">
        <v>211</v>
      </c>
      <c r="D26" s="2" t="s">
        <v>30</v>
      </c>
      <c r="E26" s="3">
        <v>45097.42324074074</v>
      </c>
      <c r="F26" s="3">
        <v>45097.434351851851</v>
      </c>
      <c r="G26" s="3">
        <v>45097.45171296296</v>
      </c>
      <c r="H26" s="3">
        <v>45097.585393738424</v>
      </c>
      <c r="I26" s="4">
        <v>3.21</v>
      </c>
      <c r="J26" s="2">
        <v>0</v>
      </c>
      <c r="K26" s="2" t="s">
        <v>31</v>
      </c>
      <c r="L26" s="2" t="s">
        <v>212</v>
      </c>
      <c r="M26" s="2" t="s">
        <v>213</v>
      </c>
      <c r="N26" s="2" t="s">
        <v>128</v>
      </c>
      <c r="O26" s="2" t="s">
        <v>129</v>
      </c>
      <c r="P26" s="2" t="s">
        <v>143</v>
      </c>
      <c r="Q26" s="2" t="s">
        <v>55</v>
      </c>
      <c r="R26" s="2">
        <v>1</v>
      </c>
      <c r="S26" s="2" t="s">
        <v>214</v>
      </c>
      <c r="T26" s="2" t="s">
        <v>39</v>
      </c>
      <c r="U26" s="2" t="s">
        <v>40</v>
      </c>
      <c r="V26" s="2" t="s">
        <v>41</v>
      </c>
      <c r="W26" s="2" t="s">
        <v>81</v>
      </c>
      <c r="X26" s="2" t="s">
        <v>41</v>
      </c>
      <c r="Y26" s="2" t="s">
        <v>41</v>
      </c>
      <c r="Z26" s="2" t="s">
        <v>59</v>
      </c>
      <c r="AA26" s="2" t="s">
        <v>215</v>
      </c>
    </row>
    <row r="27" spans="1:27" x14ac:dyDescent="0.35">
      <c r="A27" s="2" t="s">
        <v>27</v>
      </c>
      <c r="B27" s="2" t="s">
        <v>216</v>
      </c>
      <c r="C27" s="2" t="s">
        <v>198</v>
      </c>
      <c r="D27" s="2" t="s">
        <v>30</v>
      </c>
      <c r="E27" s="3">
        <v>45097.642592592587</v>
      </c>
      <c r="F27" s="3">
        <v>45097.647453703707</v>
      </c>
      <c r="G27" s="3">
        <v>45097.669675925928</v>
      </c>
      <c r="H27" s="3">
        <v>45097.757044212973</v>
      </c>
      <c r="I27" s="4">
        <v>2.1</v>
      </c>
      <c r="J27" s="2">
        <v>0</v>
      </c>
      <c r="K27" s="2" t="s">
        <v>49</v>
      </c>
      <c r="L27" s="2" t="s">
        <v>217</v>
      </c>
      <c r="M27" s="2" t="s">
        <v>218</v>
      </c>
      <c r="N27" s="2" t="s">
        <v>66</v>
      </c>
      <c r="O27" s="2" t="s">
        <v>67</v>
      </c>
      <c r="P27" s="2" t="s">
        <v>161</v>
      </c>
      <c r="Q27" s="2" t="s">
        <v>162</v>
      </c>
      <c r="R27" s="2">
        <v>1</v>
      </c>
      <c r="S27" s="2" t="s">
        <v>219</v>
      </c>
      <c r="T27" s="2" t="s">
        <v>220</v>
      </c>
      <c r="U27" s="2" t="s">
        <v>40</v>
      </c>
      <c r="V27" s="2" t="s">
        <v>41</v>
      </c>
      <c r="W27" s="2" t="s">
        <v>42</v>
      </c>
      <c r="X27" s="2" t="s">
        <v>92</v>
      </c>
      <c r="Y27" s="2" t="s">
        <v>71</v>
      </c>
      <c r="Z27" s="2" t="s">
        <v>166</v>
      </c>
      <c r="AA27" s="2" t="s">
        <v>221</v>
      </c>
    </row>
    <row r="28" spans="1:27" x14ac:dyDescent="0.35">
      <c r="A28" s="2" t="s">
        <v>27</v>
      </c>
      <c r="B28" s="2" t="s">
        <v>222</v>
      </c>
      <c r="C28" s="2" t="s">
        <v>223</v>
      </c>
      <c r="D28" s="2" t="s">
        <v>30</v>
      </c>
      <c r="E28" s="3">
        <v>45100.319155092591</v>
      </c>
      <c r="F28" s="3">
        <v>45100.337905092587</v>
      </c>
      <c r="G28" s="3">
        <v>45100.494155092587</v>
      </c>
      <c r="H28" s="3">
        <v>45100.66722974537</v>
      </c>
      <c r="I28" s="4">
        <v>4.1500000000000004</v>
      </c>
      <c r="J28" s="2">
        <v>0</v>
      </c>
      <c r="K28" s="2" t="s">
        <v>49</v>
      </c>
      <c r="L28" s="2" t="s">
        <v>32</v>
      </c>
      <c r="M28" s="2" t="s">
        <v>33</v>
      </c>
      <c r="N28" s="2" t="s">
        <v>34</v>
      </c>
      <c r="O28" s="2" t="s">
        <v>35</v>
      </c>
      <c r="P28" s="2" t="s">
        <v>113</v>
      </c>
      <c r="Q28" s="2" t="s">
        <v>114</v>
      </c>
      <c r="R28" s="2">
        <v>1</v>
      </c>
      <c r="S28" s="2" t="s">
        <v>224</v>
      </c>
      <c r="T28" s="2" t="s">
        <v>138</v>
      </c>
      <c r="U28" s="2" t="s">
        <v>40</v>
      </c>
      <c r="V28" s="2" t="s">
        <v>41</v>
      </c>
      <c r="W28" s="2" t="s">
        <v>99</v>
      </c>
      <c r="X28" s="2" t="s">
        <v>43</v>
      </c>
      <c r="Y28" s="2" t="s">
        <v>44</v>
      </c>
      <c r="Z28" s="2" t="s">
        <v>118</v>
      </c>
      <c r="AA28" s="2" t="s">
        <v>225</v>
      </c>
    </row>
    <row r="29" spans="1:27" x14ac:dyDescent="0.35">
      <c r="A29" s="2" t="s">
        <v>27</v>
      </c>
      <c r="B29" s="2" t="s">
        <v>226</v>
      </c>
      <c r="C29" s="2" t="s">
        <v>178</v>
      </c>
      <c r="D29" s="2" t="s">
        <v>30</v>
      </c>
      <c r="E29" s="3">
        <v>45105.668888888889</v>
      </c>
      <c r="F29" s="3">
        <v>45105.68</v>
      </c>
      <c r="G29" s="3">
        <v>45105.770277777781</v>
      </c>
      <c r="H29" s="3">
        <v>45105.80780603009</v>
      </c>
      <c r="I29" s="4">
        <v>0.9</v>
      </c>
      <c r="J29" s="2">
        <v>0</v>
      </c>
      <c r="K29" s="2" t="s">
        <v>49</v>
      </c>
      <c r="L29" s="2" t="s">
        <v>135</v>
      </c>
      <c r="M29" s="2" t="s">
        <v>136</v>
      </c>
      <c r="N29" s="2" t="s">
        <v>52</v>
      </c>
      <c r="O29" s="2" t="s">
        <v>53</v>
      </c>
      <c r="P29" s="2" t="s">
        <v>130</v>
      </c>
      <c r="Q29" s="2" t="s">
        <v>55</v>
      </c>
      <c r="R29" s="2">
        <v>1</v>
      </c>
      <c r="S29" s="2" t="s">
        <v>227</v>
      </c>
      <c r="T29" s="2" t="s">
        <v>90</v>
      </c>
      <c r="U29" s="2" t="s">
        <v>40</v>
      </c>
      <c r="V29" s="2" t="s">
        <v>41</v>
      </c>
      <c r="W29" s="2" t="s">
        <v>107</v>
      </c>
      <c r="X29" s="2" t="s">
        <v>139</v>
      </c>
      <c r="Y29" s="2" t="s">
        <v>41</v>
      </c>
      <c r="Z29" s="2" t="s">
        <v>59</v>
      </c>
      <c r="AA29" s="2" t="s">
        <v>228</v>
      </c>
    </row>
    <row r="30" spans="1:27" x14ac:dyDescent="0.35">
      <c r="A30" s="2" t="s">
        <v>27</v>
      </c>
      <c r="B30" s="2" t="s">
        <v>229</v>
      </c>
      <c r="C30" s="2" t="s">
        <v>169</v>
      </c>
      <c r="D30" s="2" t="s">
        <v>30</v>
      </c>
      <c r="E30" s="3">
        <v>45107.325069444443</v>
      </c>
      <c r="F30" s="3"/>
      <c r="G30" s="3">
        <v>45107.375763888893</v>
      </c>
      <c r="H30" s="3">
        <v>45107.582439606478</v>
      </c>
      <c r="I30" s="4">
        <v>4.96</v>
      </c>
      <c r="J30" s="2">
        <v>0</v>
      </c>
      <c r="K30" s="2" t="s">
        <v>31</v>
      </c>
      <c r="L30" s="2" t="s">
        <v>147</v>
      </c>
      <c r="M30" s="2" t="s">
        <v>148</v>
      </c>
      <c r="N30" s="2" t="s">
        <v>66</v>
      </c>
      <c r="O30" s="2" t="s">
        <v>67</v>
      </c>
      <c r="P30" s="2" t="s">
        <v>54</v>
      </c>
      <c r="Q30" s="2" t="s">
        <v>55</v>
      </c>
      <c r="R30" s="2">
        <v>1</v>
      </c>
      <c r="S30" s="2" t="s">
        <v>230</v>
      </c>
      <c r="T30" s="2" t="s">
        <v>220</v>
      </c>
      <c r="U30" s="2" t="s">
        <v>70</v>
      </c>
      <c r="V30" s="2" t="s">
        <v>106</v>
      </c>
      <c r="W30" s="2" t="s">
        <v>99</v>
      </c>
      <c r="X30" s="2" t="s">
        <v>41</v>
      </c>
      <c r="Y30" s="2" t="s">
        <v>71</v>
      </c>
      <c r="Z30" s="2" t="s">
        <v>59</v>
      </c>
      <c r="AA30" s="2" t="s">
        <v>150</v>
      </c>
    </row>
    <row r="31" spans="1:27" x14ac:dyDescent="0.35">
      <c r="A31" s="2" t="s">
        <v>27</v>
      </c>
      <c r="B31" s="2" t="s">
        <v>231</v>
      </c>
      <c r="C31" s="2" t="s">
        <v>169</v>
      </c>
      <c r="D31" s="2" t="s">
        <v>30</v>
      </c>
      <c r="E31" s="3">
        <v>45113.169432870367</v>
      </c>
      <c r="F31" s="3">
        <v>45113.184710648151</v>
      </c>
      <c r="G31" s="3">
        <v>45113.261099537027</v>
      </c>
      <c r="H31" s="3">
        <v>45113.478713159719</v>
      </c>
      <c r="I31" s="4">
        <v>5.22</v>
      </c>
      <c r="J31" s="2">
        <v>0</v>
      </c>
      <c r="K31" s="2" t="s">
        <v>31</v>
      </c>
      <c r="L31" s="2" t="s">
        <v>86</v>
      </c>
      <c r="M31" s="2" t="s">
        <v>87</v>
      </c>
      <c r="N31" s="2" t="s">
        <v>193</v>
      </c>
      <c r="O31" s="2" t="s">
        <v>67</v>
      </c>
      <c r="P31" s="2" t="s">
        <v>88</v>
      </c>
      <c r="Q31" s="2" t="s">
        <v>55</v>
      </c>
      <c r="R31" s="2">
        <v>1</v>
      </c>
      <c r="S31" s="2" t="s">
        <v>232</v>
      </c>
      <c r="T31" s="2" t="s">
        <v>90</v>
      </c>
      <c r="U31" s="2" t="s">
        <v>40</v>
      </c>
      <c r="V31" s="2" t="s">
        <v>91</v>
      </c>
      <c r="W31" s="2" t="s">
        <v>42</v>
      </c>
      <c r="X31" s="2" t="s">
        <v>92</v>
      </c>
      <c r="Y31" s="2" t="s">
        <v>71</v>
      </c>
      <c r="Z31" s="2" t="s">
        <v>59</v>
      </c>
      <c r="AA31" s="2" t="s">
        <v>93</v>
      </c>
    </row>
    <row r="32" spans="1:27" x14ac:dyDescent="0.35">
      <c r="A32" s="2" t="s">
        <v>27</v>
      </c>
      <c r="B32" s="2" t="s">
        <v>233</v>
      </c>
      <c r="C32" s="2" t="s">
        <v>234</v>
      </c>
      <c r="D32" s="2" t="s">
        <v>235</v>
      </c>
      <c r="E32" s="3">
        <v>45113.92355324074</v>
      </c>
      <c r="F32" s="3">
        <v>45113.928414351853</v>
      </c>
      <c r="G32" s="3">
        <v>45113.939525462964</v>
      </c>
      <c r="H32" s="3">
        <v>45113.993675902777</v>
      </c>
      <c r="I32" s="4">
        <v>1.3</v>
      </c>
      <c r="J32" s="2">
        <v>0</v>
      </c>
      <c r="K32" s="2" t="s">
        <v>49</v>
      </c>
      <c r="L32" s="2" t="s">
        <v>157</v>
      </c>
      <c r="M32" s="2" t="s">
        <v>158</v>
      </c>
      <c r="N32" s="2" t="s">
        <v>159</v>
      </c>
      <c r="O32" s="2" t="s">
        <v>160</v>
      </c>
      <c r="P32" s="2" t="s">
        <v>161</v>
      </c>
      <c r="Q32" s="2" t="s">
        <v>162</v>
      </c>
      <c r="R32" s="2">
        <v>1</v>
      </c>
      <c r="S32" s="2" t="s">
        <v>236</v>
      </c>
      <c r="T32" s="2" t="s">
        <v>90</v>
      </c>
      <c r="U32" s="2" t="s">
        <v>40</v>
      </c>
      <c r="V32" s="2" t="s">
        <v>41</v>
      </c>
      <c r="W32" s="2" t="s">
        <v>107</v>
      </c>
      <c r="X32" s="2" t="s">
        <v>165</v>
      </c>
      <c r="Y32" s="2" t="s">
        <v>41</v>
      </c>
      <c r="Z32" s="2" t="s">
        <v>166</v>
      </c>
      <c r="AA32" s="2" t="s">
        <v>167</v>
      </c>
    </row>
    <row r="33" spans="1:27" x14ac:dyDescent="0.35">
      <c r="A33" s="2" t="s">
        <v>27</v>
      </c>
      <c r="B33" s="2" t="s">
        <v>237</v>
      </c>
      <c r="C33" s="2" t="s">
        <v>238</v>
      </c>
      <c r="D33" s="2" t="s">
        <v>63</v>
      </c>
      <c r="E33" s="3">
        <v>45120.299513888887</v>
      </c>
      <c r="F33" s="3">
        <v>45120.311319444438</v>
      </c>
      <c r="G33" s="3">
        <v>45120.370347222219</v>
      </c>
      <c r="H33" s="3">
        <v>45120.555963981482</v>
      </c>
      <c r="I33" s="4">
        <v>4.45</v>
      </c>
      <c r="J33" s="2">
        <v>0</v>
      </c>
      <c r="K33" s="2" t="s">
        <v>31</v>
      </c>
      <c r="L33" s="2" t="s">
        <v>86</v>
      </c>
      <c r="M33" s="2" t="s">
        <v>87</v>
      </c>
      <c r="N33" s="2" t="s">
        <v>66</v>
      </c>
      <c r="O33" s="2" t="s">
        <v>67</v>
      </c>
      <c r="P33" s="2" t="s">
        <v>88</v>
      </c>
      <c r="Q33" s="2" t="s">
        <v>55</v>
      </c>
      <c r="R33" s="2">
        <v>0</v>
      </c>
      <c r="S33" s="2" t="s">
        <v>239</v>
      </c>
      <c r="T33" s="2" t="s">
        <v>90</v>
      </c>
      <c r="U33" s="2" t="s">
        <v>40</v>
      </c>
      <c r="V33" s="2" t="s">
        <v>91</v>
      </c>
      <c r="W33" s="2" t="s">
        <v>99</v>
      </c>
      <c r="X33" s="2" t="s">
        <v>92</v>
      </c>
      <c r="Y33" s="2" t="s">
        <v>71</v>
      </c>
      <c r="Z33" s="2" t="s">
        <v>59</v>
      </c>
      <c r="AA33" s="2" t="s">
        <v>100</v>
      </c>
    </row>
    <row r="34" spans="1:27" x14ac:dyDescent="0.35">
      <c r="A34" s="2" t="s">
        <v>27</v>
      </c>
      <c r="B34" s="2" t="s">
        <v>240</v>
      </c>
      <c r="C34" s="2" t="s">
        <v>223</v>
      </c>
      <c r="D34" s="2" t="s">
        <v>30</v>
      </c>
      <c r="E34" s="3">
        <v>45132.542060185187</v>
      </c>
      <c r="F34" s="3">
        <v>45132.550393518519</v>
      </c>
      <c r="G34" s="3">
        <v>45132.597615740742</v>
      </c>
      <c r="H34" s="3">
        <v>45132.713022291668</v>
      </c>
      <c r="I34" s="4">
        <v>2.77</v>
      </c>
      <c r="J34" s="2">
        <v>0</v>
      </c>
      <c r="K34" s="2" t="s">
        <v>31</v>
      </c>
      <c r="L34" s="2" t="s">
        <v>182</v>
      </c>
      <c r="M34" s="2" t="s">
        <v>183</v>
      </c>
      <c r="N34" s="2" t="s">
        <v>193</v>
      </c>
      <c r="O34" s="2" t="s">
        <v>67</v>
      </c>
      <c r="P34" s="2" t="s">
        <v>130</v>
      </c>
      <c r="Q34" s="2" t="s">
        <v>55</v>
      </c>
      <c r="R34" s="2">
        <v>0</v>
      </c>
      <c r="S34" s="2" t="s">
        <v>241</v>
      </c>
      <c r="T34" s="2" t="s">
        <v>138</v>
      </c>
      <c r="U34" s="2" t="s">
        <v>40</v>
      </c>
      <c r="V34" s="2" t="s">
        <v>106</v>
      </c>
      <c r="W34" s="2" t="s">
        <v>99</v>
      </c>
      <c r="X34" s="2" t="s">
        <v>41</v>
      </c>
      <c r="Y34" s="2" t="s">
        <v>71</v>
      </c>
      <c r="Z34" s="2" t="s">
        <v>59</v>
      </c>
      <c r="AA34" s="2" t="s">
        <v>150</v>
      </c>
    </row>
    <row r="35" spans="1:27" x14ac:dyDescent="0.35">
      <c r="A35" s="2" t="s">
        <v>27</v>
      </c>
      <c r="B35" s="2" t="s">
        <v>242</v>
      </c>
      <c r="C35" s="2" t="s">
        <v>178</v>
      </c>
      <c r="D35" s="2" t="s">
        <v>30</v>
      </c>
      <c r="E35" s="3">
        <v>45140.030578703707</v>
      </c>
      <c r="F35" s="3">
        <v>45140.034050925933</v>
      </c>
      <c r="G35" s="3">
        <v>45140.052106481482</v>
      </c>
      <c r="H35" s="3">
        <v>45140.125659444442</v>
      </c>
      <c r="I35" s="4">
        <v>1.77</v>
      </c>
      <c r="J35" s="2">
        <v>0</v>
      </c>
      <c r="K35" s="2" t="s">
        <v>49</v>
      </c>
      <c r="L35" s="2" t="s">
        <v>243</v>
      </c>
      <c r="M35" s="2" t="s">
        <v>244</v>
      </c>
      <c r="N35" s="2" t="s">
        <v>184</v>
      </c>
      <c r="O35" s="2" t="s">
        <v>185</v>
      </c>
      <c r="P35" s="2" t="s">
        <v>54</v>
      </c>
      <c r="Q35" s="2" t="s">
        <v>55</v>
      </c>
      <c r="R35" s="2">
        <v>1</v>
      </c>
      <c r="S35" s="2" t="s">
        <v>245</v>
      </c>
      <c r="T35" s="2" t="s">
        <v>98</v>
      </c>
      <c r="U35" s="2" t="s">
        <v>70</v>
      </c>
      <c r="V35" s="2" t="s">
        <v>246</v>
      </c>
      <c r="W35" s="2" t="s">
        <v>58</v>
      </c>
      <c r="X35" s="2" t="s">
        <v>41</v>
      </c>
      <c r="Y35" s="2" t="s">
        <v>187</v>
      </c>
      <c r="Z35" s="2" t="s">
        <v>59</v>
      </c>
      <c r="AA35" s="2" t="s">
        <v>247</v>
      </c>
    </row>
    <row r="36" spans="1:27" x14ac:dyDescent="0.35">
      <c r="A36" s="2" t="s">
        <v>27</v>
      </c>
      <c r="B36" s="2" t="s">
        <v>248</v>
      </c>
      <c r="C36" s="2" t="s">
        <v>211</v>
      </c>
      <c r="D36" s="2" t="s">
        <v>235</v>
      </c>
      <c r="E36" s="3">
        <v>45140.370185185187</v>
      </c>
      <c r="F36" s="3">
        <v>45140.38685185185</v>
      </c>
      <c r="G36" s="3">
        <v>45140.422268518523</v>
      </c>
      <c r="H36" s="3">
        <v>45140.45973829861</v>
      </c>
      <c r="I36" s="4">
        <v>0.9</v>
      </c>
      <c r="J36" s="2">
        <v>0</v>
      </c>
      <c r="K36" s="2" t="s">
        <v>49</v>
      </c>
      <c r="L36" s="2" t="s">
        <v>243</v>
      </c>
      <c r="M36" s="2" t="s">
        <v>244</v>
      </c>
      <c r="N36" s="2" t="s">
        <v>66</v>
      </c>
      <c r="O36" s="2" t="s">
        <v>67</v>
      </c>
      <c r="P36" s="2" t="s">
        <v>113</v>
      </c>
      <c r="Q36" s="2" t="s">
        <v>114</v>
      </c>
      <c r="R36" s="2">
        <v>1</v>
      </c>
      <c r="S36" s="2" t="s">
        <v>249</v>
      </c>
      <c r="T36" s="2" t="s">
        <v>132</v>
      </c>
      <c r="U36" s="2" t="s">
        <v>40</v>
      </c>
      <c r="V36" s="2" t="s">
        <v>246</v>
      </c>
      <c r="W36" s="2" t="s">
        <v>42</v>
      </c>
      <c r="X36" s="2" t="s">
        <v>41</v>
      </c>
      <c r="Y36" s="2" t="s">
        <v>71</v>
      </c>
      <c r="Z36" s="2" t="s">
        <v>118</v>
      </c>
      <c r="AA36" s="2" t="s">
        <v>250</v>
      </c>
    </row>
    <row r="37" spans="1:27" x14ac:dyDescent="0.35">
      <c r="A37" s="2" t="s">
        <v>27</v>
      </c>
      <c r="B37" s="2" t="s">
        <v>251</v>
      </c>
      <c r="C37" s="2" t="s">
        <v>134</v>
      </c>
      <c r="D37" s="2" t="s">
        <v>30</v>
      </c>
      <c r="E37" s="3">
        <v>45155.972210648149</v>
      </c>
      <c r="F37" s="3">
        <v>45155.977071759262</v>
      </c>
      <c r="G37" s="3">
        <v>45156.016655092593</v>
      </c>
      <c r="H37" s="3">
        <v>45156.134194826387</v>
      </c>
      <c r="I37" s="4">
        <v>2.82</v>
      </c>
      <c r="J37" s="2">
        <v>0</v>
      </c>
      <c r="K37" s="2" t="s">
        <v>31</v>
      </c>
      <c r="L37" s="2" t="s">
        <v>135</v>
      </c>
      <c r="M37" s="2" t="s">
        <v>136</v>
      </c>
      <c r="N37" s="2" t="s">
        <v>193</v>
      </c>
      <c r="O37" s="2" t="s">
        <v>67</v>
      </c>
      <c r="P37" s="2" t="s">
        <v>161</v>
      </c>
      <c r="Q37" s="2" t="s">
        <v>162</v>
      </c>
      <c r="R37" s="2">
        <v>1</v>
      </c>
      <c r="S37" s="2" t="s">
        <v>252</v>
      </c>
      <c r="T37" s="2" t="s">
        <v>164</v>
      </c>
      <c r="U37" s="2" t="s">
        <v>70</v>
      </c>
      <c r="V37" s="2" t="s">
        <v>41</v>
      </c>
      <c r="W37" s="2" t="s">
        <v>107</v>
      </c>
      <c r="X37" s="2" t="s">
        <v>139</v>
      </c>
      <c r="Y37" s="2" t="s">
        <v>71</v>
      </c>
      <c r="Z37" s="2" t="s">
        <v>166</v>
      </c>
      <c r="AA37" s="2" t="s">
        <v>253</v>
      </c>
    </row>
    <row r="38" spans="1:27" x14ac:dyDescent="0.35">
      <c r="A38" s="2" t="s">
        <v>27</v>
      </c>
      <c r="B38" s="2" t="s">
        <v>254</v>
      </c>
      <c r="C38" s="2" t="s">
        <v>255</v>
      </c>
      <c r="D38" s="2" t="s">
        <v>30</v>
      </c>
      <c r="E38" s="3">
        <v>45173.149421296293</v>
      </c>
      <c r="F38" s="3">
        <v>45173.166087962964</v>
      </c>
      <c r="G38" s="3">
        <v>45173.220254629632</v>
      </c>
      <c r="H38" s="3">
        <v>45173.481288287039</v>
      </c>
      <c r="I38" s="4">
        <v>6.26</v>
      </c>
      <c r="J38" s="2">
        <v>0</v>
      </c>
      <c r="K38" s="2" t="s">
        <v>31</v>
      </c>
      <c r="L38" s="2" t="s">
        <v>256</v>
      </c>
      <c r="M38" s="2" t="s">
        <v>257</v>
      </c>
      <c r="N38" s="2" t="s">
        <v>184</v>
      </c>
      <c r="O38" s="2" t="s">
        <v>185</v>
      </c>
      <c r="P38" s="2" t="s">
        <v>113</v>
      </c>
      <c r="Q38" s="2" t="s">
        <v>114</v>
      </c>
      <c r="R38" s="2">
        <v>1</v>
      </c>
      <c r="S38" s="2" t="s">
        <v>258</v>
      </c>
      <c r="T38" s="2" t="s">
        <v>164</v>
      </c>
      <c r="U38" s="2" t="s">
        <v>40</v>
      </c>
      <c r="V38" s="2" t="s">
        <v>259</v>
      </c>
      <c r="W38" s="2" t="s">
        <v>58</v>
      </c>
      <c r="X38" s="2" t="s">
        <v>41</v>
      </c>
      <c r="Y38" s="2" t="s">
        <v>187</v>
      </c>
      <c r="Z38" s="2" t="s">
        <v>118</v>
      </c>
      <c r="AA38" s="2" t="s">
        <v>260</v>
      </c>
    </row>
    <row r="39" spans="1:27" x14ac:dyDescent="0.35">
      <c r="A39" s="2" t="s">
        <v>27</v>
      </c>
      <c r="B39" s="2" t="s">
        <v>261</v>
      </c>
      <c r="C39" s="2" t="s">
        <v>262</v>
      </c>
      <c r="D39" s="2" t="s">
        <v>63</v>
      </c>
      <c r="E39" s="3">
        <v>45185.152430555558</v>
      </c>
      <c r="F39" s="3">
        <v>45185.175347222219</v>
      </c>
      <c r="G39" s="3">
        <v>45185.217013888891</v>
      </c>
      <c r="H39" s="3">
        <v>45185.363927638893</v>
      </c>
      <c r="I39" s="4">
        <v>3.53</v>
      </c>
      <c r="J39" s="2">
        <v>0</v>
      </c>
      <c r="K39" s="2" t="s">
        <v>49</v>
      </c>
      <c r="L39" s="2" t="s">
        <v>217</v>
      </c>
      <c r="M39" s="2" t="s">
        <v>218</v>
      </c>
      <c r="N39" s="2" t="s">
        <v>159</v>
      </c>
      <c r="O39" s="2" t="s">
        <v>160</v>
      </c>
      <c r="P39" s="2" t="s">
        <v>143</v>
      </c>
      <c r="Q39" s="2" t="s">
        <v>55</v>
      </c>
      <c r="R39" s="2">
        <v>0</v>
      </c>
      <c r="S39" s="2" t="s">
        <v>263</v>
      </c>
      <c r="T39" s="2" t="s">
        <v>220</v>
      </c>
      <c r="U39" s="2" t="s">
        <v>40</v>
      </c>
      <c r="V39" s="2" t="s">
        <v>41</v>
      </c>
      <c r="W39" s="2" t="s">
        <v>81</v>
      </c>
      <c r="X39" s="2" t="s">
        <v>92</v>
      </c>
      <c r="Y39" s="2" t="s">
        <v>41</v>
      </c>
      <c r="Z39" s="2" t="s">
        <v>59</v>
      </c>
      <c r="AA39" s="2" t="s">
        <v>264</v>
      </c>
    </row>
    <row r="40" spans="1:27" x14ac:dyDescent="0.35">
      <c r="A40" s="2" t="s">
        <v>27</v>
      </c>
      <c r="B40" s="2" t="s">
        <v>265</v>
      </c>
      <c r="C40" s="2" t="s">
        <v>85</v>
      </c>
      <c r="D40" s="2" t="s">
        <v>63</v>
      </c>
      <c r="E40" s="3">
        <v>45204.359618055547</v>
      </c>
      <c r="F40" s="3">
        <v>45204.382534722223</v>
      </c>
      <c r="G40" s="3">
        <v>45204.42628472222</v>
      </c>
      <c r="H40" s="3">
        <v>45204.669139328696</v>
      </c>
      <c r="I40" s="4">
        <v>5.83</v>
      </c>
      <c r="J40" s="2">
        <v>0</v>
      </c>
      <c r="K40" s="2" t="s">
        <v>31</v>
      </c>
      <c r="L40" s="2" t="s">
        <v>75</v>
      </c>
      <c r="M40" s="2" t="s">
        <v>76</v>
      </c>
      <c r="N40" s="2" t="s">
        <v>77</v>
      </c>
      <c r="O40" s="2" t="s">
        <v>35</v>
      </c>
      <c r="P40" s="2" t="s">
        <v>78</v>
      </c>
      <c r="Q40" s="2" t="s">
        <v>79</v>
      </c>
      <c r="R40" s="2">
        <v>1</v>
      </c>
      <c r="S40" s="2" t="s">
        <v>266</v>
      </c>
      <c r="T40" s="2" t="s">
        <v>164</v>
      </c>
      <c r="U40" s="2" t="s">
        <v>40</v>
      </c>
      <c r="V40" s="2" t="s">
        <v>41</v>
      </c>
      <c r="W40" s="2" t="s">
        <v>107</v>
      </c>
      <c r="X40" s="2" t="s">
        <v>41</v>
      </c>
      <c r="Y40" s="2" t="s">
        <v>44</v>
      </c>
      <c r="Z40" s="2" t="s">
        <v>82</v>
      </c>
      <c r="AA40" s="2" t="s">
        <v>267</v>
      </c>
    </row>
    <row r="41" spans="1:27" x14ac:dyDescent="0.35">
      <c r="A41" s="2" t="s">
        <v>27</v>
      </c>
      <c r="B41" s="2" t="s">
        <v>268</v>
      </c>
      <c r="C41" s="2" t="s">
        <v>190</v>
      </c>
      <c r="D41" s="2" t="s">
        <v>63</v>
      </c>
      <c r="E41" s="3">
        <v>45205.289583333331</v>
      </c>
      <c r="F41" s="3">
        <v>45205.298611111109</v>
      </c>
      <c r="G41" s="3">
        <v>45205.32916666667</v>
      </c>
      <c r="H41" s="3">
        <v>45205.397438344909</v>
      </c>
      <c r="I41" s="4">
        <v>1.64</v>
      </c>
      <c r="J41" s="2">
        <v>0</v>
      </c>
      <c r="K41" s="2" t="s">
        <v>49</v>
      </c>
      <c r="L41" s="2" t="s">
        <v>269</v>
      </c>
      <c r="M41" s="2" t="s">
        <v>270</v>
      </c>
      <c r="N41" s="2" t="s">
        <v>34</v>
      </c>
      <c r="O41" s="2" t="s">
        <v>35</v>
      </c>
      <c r="P41" s="2" t="s">
        <v>113</v>
      </c>
      <c r="Q41" s="2" t="s">
        <v>114</v>
      </c>
      <c r="R41" s="2">
        <v>1</v>
      </c>
      <c r="S41" s="2" t="s">
        <v>271</v>
      </c>
      <c r="T41" s="2" t="s">
        <v>39</v>
      </c>
      <c r="U41" s="2" t="s">
        <v>70</v>
      </c>
      <c r="V41" s="2" t="s">
        <v>272</v>
      </c>
      <c r="W41" s="2" t="s">
        <v>58</v>
      </c>
      <c r="X41" s="2" t="s">
        <v>41</v>
      </c>
      <c r="Y41" s="2" t="s">
        <v>44</v>
      </c>
      <c r="Z41" s="2" t="s">
        <v>118</v>
      </c>
      <c r="AA41" s="2" t="s">
        <v>273</v>
      </c>
    </row>
    <row r="42" spans="1:27" x14ac:dyDescent="0.35">
      <c r="A42" s="2" t="s">
        <v>27</v>
      </c>
      <c r="B42" s="2" t="s">
        <v>274</v>
      </c>
      <c r="C42" s="2" t="s">
        <v>275</v>
      </c>
      <c r="D42" s="2" t="s">
        <v>30</v>
      </c>
      <c r="E42" s="3">
        <v>45221.775821759264</v>
      </c>
      <c r="F42" s="3">
        <v>45221.786238425928</v>
      </c>
      <c r="G42" s="3">
        <v>45221.817488425928</v>
      </c>
      <c r="H42" s="3">
        <v>45222.027354861108</v>
      </c>
      <c r="I42" s="4">
        <v>5.04</v>
      </c>
      <c r="J42" s="2">
        <v>0</v>
      </c>
      <c r="K42" s="2" t="s">
        <v>96</v>
      </c>
      <c r="L42" s="2" t="s">
        <v>276</v>
      </c>
      <c r="M42" s="2" t="s">
        <v>277</v>
      </c>
      <c r="N42" s="2" t="s">
        <v>34</v>
      </c>
      <c r="O42" s="2" t="s">
        <v>35</v>
      </c>
      <c r="P42" s="2" t="s">
        <v>161</v>
      </c>
      <c r="Q42" s="2" t="s">
        <v>162</v>
      </c>
      <c r="R42" s="2">
        <v>1</v>
      </c>
      <c r="S42" s="2" t="s">
        <v>278</v>
      </c>
      <c r="T42" s="2" t="s">
        <v>90</v>
      </c>
      <c r="U42" s="2" t="s">
        <v>40</v>
      </c>
      <c r="V42" s="2" t="s">
        <v>41</v>
      </c>
      <c r="W42" s="2" t="s">
        <v>42</v>
      </c>
      <c r="X42" s="2" t="s">
        <v>41</v>
      </c>
      <c r="Y42" s="2" t="s">
        <v>44</v>
      </c>
      <c r="Z42" s="2" t="s">
        <v>166</v>
      </c>
      <c r="AA42" s="2" t="s">
        <v>279</v>
      </c>
    </row>
    <row r="43" spans="1:27" x14ac:dyDescent="0.35">
      <c r="A43" s="2" t="s">
        <v>27</v>
      </c>
      <c r="B43" s="2" t="s">
        <v>280</v>
      </c>
      <c r="C43" s="2" t="s">
        <v>281</v>
      </c>
      <c r="D43" s="2" t="s">
        <v>30</v>
      </c>
      <c r="E43" s="3">
        <v>45227.201215277782</v>
      </c>
      <c r="F43" s="3">
        <v>45227.210243055553</v>
      </c>
      <c r="G43" s="3">
        <v>45227.269270833327</v>
      </c>
      <c r="H43" s="3">
        <v>45227.721220451393</v>
      </c>
      <c r="I43" s="4">
        <v>10.85</v>
      </c>
      <c r="J43" s="2">
        <v>0</v>
      </c>
      <c r="K43" s="2" t="s">
        <v>31</v>
      </c>
      <c r="L43" s="2" t="s">
        <v>282</v>
      </c>
      <c r="M43" s="2" t="s">
        <v>283</v>
      </c>
      <c r="N43" s="2" t="s">
        <v>77</v>
      </c>
      <c r="O43" s="2" t="s">
        <v>35</v>
      </c>
      <c r="P43" s="2" t="s">
        <v>78</v>
      </c>
      <c r="Q43" s="2" t="s">
        <v>79</v>
      </c>
      <c r="R43" s="2">
        <v>1</v>
      </c>
      <c r="S43" s="2" t="s">
        <v>284</v>
      </c>
      <c r="T43" s="2" t="s">
        <v>285</v>
      </c>
      <c r="U43" s="2" t="s">
        <v>117</v>
      </c>
      <c r="V43" s="2" t="s">
        <v>41</v>
      </c>
      <c r="W43" s="2" t="s">
        <v>99</v>
      </c>
      <c r="X43" s="2" t="s">
        <v>41</v>
      </c>
      <c r="Y43" s="2" t="s">
        <v>44</v>
      </c>
      <c r="Z43" s="2" t="s">
        <v>82</v>
      </c>
      <c r="AA43" s="2" t="s">
        <v>286</v>
      </c>
    </row>
    <row r="44" spans="1:27" x14ac:dyDescent="0.35">
      <c r="A44" s="2" t="s">
        <v>27</v>
      </c>
      <c r="B44" s="2" t="s">
        <v>287</v>
      </c>
      <c r="C44" s="2" t="s">
        <v>275</v>
      </c>
      <c r="D44" s="2" t="s">
        <v>30</v>
      </c>
      <c r="E44" s="3">
        <v>45239.440208333333</v>
      </c>
      <c r="F44" s="3">
        <v>45239.459652777783</v>
      </c>
      <c r="G44" s="3">
        <v>45239.497847222221</v>
      </c>
      <c r="H44" s="3">
        <v>45240.095162210651</v>
      </c>
      <c r="I44" s="4">
        <v>14.34</v>
      </c>
      <c r="J44" s="2">
        <v>0</v>
      </c>
      <c r="K44" s="2" t="s">
        <v>31</v>
      </c>
      <c r="L44" s="2" t="s">
        <v>147</v>
      </c>
      <c r="M44" s="2" t="s">
        <v>148</v>
      </c>
      <c r="N44" s="2" t="s">
        <v>66</v>
      </c>
      <c r="O44" s="2" t="s">
        <v>67</v>
      </c>
      <c r="P44" s="2" t="s">
        <v>54</v>
      </c>
      <c r="Q44" s="2" t="s">
        <v>55</v>
      </c>
      <c r="R44" s="2">
        <v>1</v>
      </c>
      <c r="S44" s="2" t="s">
        <v>288</v>
      </c>
      <c r="T44" s="2" t="s">
        <v>138</v>
      </c>
      <c r="U44" s="2" t="s">
        <v>70</v>
      </c>
      <c r="V44" s="2" t="s">
        <v>106</v>
      </c>
      <c r="W44" s="2" t="s">
        <v>81</v>
      </c>
      <c r="X44" s="2" t="s">
        <v>41</v>
      </c>
      <c r="Y44" s="2" t="s">
        <v>71</v>
      </c>
      <c r="Z44" s="2" t="s">
        <v>59</v>
      </c>
      <c r="AA44" s="2" t="s">
        <v>289</v>
      </c>
    </row>
    <row r="45" spans="1:27" x14ac:dyDescent="0.35">
      <c r="A45" s="2" t="s">
        <v>27</v>
      </c>
      <c r="B45" s="2" t="s">
        <v>290</v>
      </c>
      <c r="C45" s="2" t="s">
        <v>142</v>
      </c>
      <c r="D45" s="2" t="s">
        <v>30</v>
      </c>
      <c r="E45" s="3">
        <v>45244.584131944437</v>
      </c>
      <c r="F45" s="3">
        <v>45244.59107638889</v>
      </c>
      <c r="G45" s="3">
        <v>45244.692465277767</v>
      </c>
      <c r="H45" s="3">
        <v>45244.759566828703</v>
      </c>
      <c r="I45" s="4">
        <v>1.61</v>
      </c>
      <c r="J45" s="2">
        <v>0</v>
      </c>
      <c r="K45" s="2" t="s">
        <v>31</v>
      </c>
      <c r="L45" s="2" t="s">
        <v>276</v>
      </c>
      <c r="M45" s="2" t="s">
        <v>277</v>
      </c>
      <c r="N45" s="2" t="s">
        <v>128</v>
      </c>
      <c r="O45" s="2" t="s">
        <v>129</v>
      </c>
      <c r="P45" s="2" t="s">
        <v>54</v>
      </c>
      <c r="Q45" s="2" t="s">
        <v>55</v>
      </c>
      <c r="R45" s="2">
        <v>0</v>
      </c>
      <c r="S45" s="2" t="s">
        <v>291</v>
      </c>
      <c r="T45" s="2" t="s">
        <v>39</v>
      </c>
      <c r="U45" s="2" t="s">
        <v>40</v>
      </c>
      <c r="V45" s="2" t="s">
        <v>41</v>
      </c>
      <c r="W45" s="2" t="s">
        <v>99</v>
      </c>
      <c r="X45" s="2" t="s">
        <v>41</v>
      </c>
      <c r="Y45" s="2" t="s">
        <v>41</v>
      </c>
      <c r="Z45" s="2" t="s">
        <v>59</v>
      </c>
      <c r="AA45" s="2" t="s">
        <v>171</v>
      </c>
    </row>
    <row r="46" spans="1:27" x14ac:dyDescent="0.35">
      <c r="A46" s="2" t="s">
        <v>27</v>
      </c>
      <c r="B46" s="2" t="s">
        <v>292</v>
      </c>
      <c r="C46" s="2" t="s">
        <v>29</v>
      </c>
      <c r="D46" s="2" t="s">
        <v>30</v>
      </c>
      <c r="E46" s="3">
        <v>45253.157581018517</v>
      </c>
      <c r="F46" s="3">
        <v>45253.174942129634</v>
      </c>
      <c r="G46" s="3">
        <v>45253.204108796293</v>
      </c>
      <c r="H46" s="3">
        <v>45253.410361423608</v>
      </c>
      <c r="I46" s="4">
        <v>4.95</v>
      </c>
      <c r="J46" s="2">
        <v>0</v>
      </c>
      <c r="K46" s="2" t="s">
        <v>96</v>
      </c>
      <c r="L46" s="2" t="s">
        <v>103</v>
      </c>
      <c r="M46" s="2" t="s">
        <v>104</v>
      </c>
      <c r="N46" s="2" t="s">
        <v>66</v>
      </c>
      <c r="O46" s="2" t="s">
        <v>67</v>
      </c>
      <c r="P46" s="2" t="s">
        <v>54</v>
      </c>
      <c r="Q46" s="2" t="s">
        <v>55</v>
      </c>
      <c r="R46" s="2">
        <v>1</v>
      </c>
      <c r="S46" s="2" t="s">
        <v>293</v>
      </c>
      <c r="T46" s="2" t="s">
        <v>57</v>
      </c>
      <c r="U46" s="2" t="s">
        <v>40</v>
      </c>
      <c r="V46" s="2" t="s">
        <v>106</v>
      </c>
      <c r="W46" s="2" t="s">
        <v>58</v>
      </c>
      <c r="X46" s="2" t="s">
        <v>41</v>
      </c>
      <c r="Y46" s="2" t="s">
        <v>71</v>
      </c>
      <c r="Z46" s="2" t="s">
        <v>59</v>
      </c>
      <c r="AA46" s="2" t="s">
        <v>294</v>
      </c>
    </row>
    <row r="47" spans="1:27" x14ac:dyDescent="0.35">
      <c r="A47" s="2" t="s">
        <v>27</v>
      </c>
      <c r="B47" s="2" t="s">
        <v>295</v>
      </c>
      <c r="C47" s="2" t="s">
        <v>296</v>
      </c>
      <c r="D47" s="2" t="s">
        <v>30</v>
      </c>
      <c r="E47" s="3">
        <v>45269.244201388887</v>
      </c>
      <c r="F47" s="3">
        <v>45269.250451388893</v>
      </c>
      <c r="G47" s="3">
        <v>45269.27684027778</v>
      </c>
      <c r="H47" s="3">
        <v>45269.390134201392</v>
      </c>
      <c r="I47" s="4">
        <v>2.72</v>
      </c>
      <c r="J47" s="2">
        <v>0</v>
      </c>
      <c r="K47" s="2" t="s">
        <v>31</v>
      </c>
      <c r="L47" s="2" t="s">
        <v>269</v>
      </c>
      <c r="M47" s="2" t="s">
        <v>270</v>
      </c>
      <c r="N47" s="2" t="s">
        <v>52</v>
      </c>
      <c r="O47" s="2" t="s">
        <v>53</v>
      </c>
      <c r="P47" s="2" t="s">
        <v>143</v>
      </c>
      <c r="Q47" s="2" t="s">
        <v>55</v>
      </c>
      <c r="R47" s="2">
        <v>1</v>
      </c>
      <c r="S47" s="2" t="s">
        <v>297</v>
      </c>
      <c r="T47" s="2" t="s">
        <v>57</v>
      </c>
      <c r="U47" s="2" t="s">
        <v>40</v>
      </c>
      <c r="V47" s="2" t="s">
        <v>272</v>
      </c>
      <c r="W47" s="2" t="s">
        <v>58</v>
      </c>
      <c r="X47" s="2" t="s">
        <v>41</v>
      </c>
      <c r="Y47" s="2" t="s">
        <v>41</v>
      </c>
      <c r="Z47" s="2" t="s">
        <v>59</v>
      </c>
      <c r="AA47" s="2" t="s">
        <v>298</v>
      </c>
    </row>
    <row r="48" spans="1:27" x14ac:dyDescent="0.35">
      <c r="A48" s="2" t="s">
        <v>27</v>
      </c>
      <c r="B48" s="2" t="s">
        <v>299</v>
      </c>
      <c r="C48" s="2" t="s">
        <v>110</v>
      </c>
      <c r="D48" s="2" t="s">
        <v>30</v>
      </c>
      <c r="E48" s="3">
        <v>45282.788043981483</v>
      </c>
      <c r="F48" s="3">
        <v>45282.812349537038</v>
      </c>
      <c r="G48" s="3">
        <v>45282.831793981481</v>
      </c>
      <c r="H48" s="3">
        <v>45282.852662858793</v>
      </c>
      <c r="I48" s="4">
        <v>0.5</v>
      </c>
      <c r="J48" s="2">
        <v>0</v>
      </c>
      <c r="K48" s="2" t="s">
        <v>31</v>
      </c>
      <c r="L48" s="2" t="s">
        <v>157</v>
      </c>
      <c r="M48" s="2" t="s">
        <v>158</v>
      </c>
      <c r="N48" s="2" t="s">
        <v>159</v>
      </c>
      <c r="O48" s="2" t="s">
        <v>160</v>
      </c>
      <c r="P48" s="2" t="s">
        <v>161</v>
      </c>
      <c r="Q48" s="2" t="s">
        <v>162</v>
      </c>
      <c r="R48" s="2">
        <v>0</v>
      </c>
      <c r="S48" s="2" t="s">
        <v>300</v>
      </c>
      <c r="T48" s="2" t="s">
        <v>90</v>
      </c>
      <c r="U48" s="2" t="s">
        <v>70</v>
      </c>
      <c r="V48" s="2" t="s">
        <v>41</v>
      </c>
      <c r="W48" s="2" t="s">
        <v>107</v>
      </c>
      <c r="X48" s="2" t="s">
        <v>165</v>
      </c>
      <c r="Y48" s="2" t="s">
        <v>41</v>
      </c>
      <c r="Z48" s="2" t="s">
        <v>166</v>
      </c>
      <c r="AA48" s="2" t="s">
        <v>167</v>
      </c>
    </row>
    <row r="49" spans="1:27" x14ac:dyDescent="0.35">
      <c r="A49" s="2" t="s">
        <v>27</v>
      </c>
      <c r="B49" s="2" t="s">
        <v>301</v>
      </c>
      <c r="C49" s="2" t="s">
        <v>281</v>
      </c>
      <c r="D49" s="2" t="s">
        <v>30</v>
      </c>
      <c r="E49" s="3">
        <v>45286.110659722217</v>
      </c>
      <c r="F49" s="3">
        <v>45286.145381944443</v>
      </c>
      <c r="G49" s="3">
        <v>45286.207187499997</v>
      </c>
      <c r="H49" s="3">
        <v>45286.750502546303</v>
      </c>
      <c r="I49" s="4">
        <v>13.04</v>
      </c>
      <c r="J49" s="2">
        <v>0</v>
      </c>
      <c r="K49" s="2" t="s">
        <v>96</v>
      </c>
      <c r="L49" s="2" t="s">
        <v>302</v>
      </c>
      <c r="M49" s="2" t="s">
        <v>303</v>
      </c>
      <c r="N49" s="2" t="s">
        <v>193</v>
      </c>
      <c r="O49" s="2" t="s">
        <v>67</v>
      </c>
      <c r="P49" s="2" t="s">
        <v>194</v>
      </c>
      <c r="Q49" s="2" t="s">
        <v>79</v>
      </c>
      <c r="R49" s="2">
        <v>1</v>
      </c>
      <c r="S49" s="2" t="s">
        <v>304</v>
      </c>
      <c r="T49" s="2" t="s">
        <v>69</v>
      </c>
      <c r="U49" s="2" t="s">
        <v>40</v>
      </c>
      <c r="V49" s="2" t="s">
        <v>41</v>
      </c>
      <c r="W49" s="2" t="s">
        <v>42</v>
      </c>
      <c r="X49" s="2" t="s">
        <v>41</v>
      </c>
      <c r="Y49" s="2" t="s">
        <v>71</v>
      </c>
      <c r="Z49" s="2" t="s">
        <v>82</v>
      </c>
      <c r="AA49" s="2" t="s">
        <v>305</v>
      </c>
    </row>
    <row r="50" spans="1:27" x14ac:dyDescent="0.35">
      <c r="A50" s="2" t="s">
        <v>27</v>
      </c>
      <c r="B50" s="2" t="s">
        <v>306</v>
      </c>
      <c r="C50" s="2" t="s">
        <v>275</v>
      </c>
      <c r="D50" s="2" t="s">
        <v>63</v>
      </c>
      <c r="E50" s="3">
        <v>45294.590856481482</v>
      </c>
      <c r="F50" s="3">
        <v>45294.615162037036</v>
      </c>
      <c r="G50" s="3">
        <v>45294.647800925923</v>
      </c>
      <c r="H50" s="3">
        <v>45294.768423287038</v>
      </c>
      <c r="I50" s="4">
        <v>2.89</v>
      </c>
      <c r="J50" s="2">
        <v>0</v>
      </c>
      <c r="K50" s="2" t="s">
        <v>31</v>
      </c>
      <c r="L50" s="2" t="s">
        <v>147</v>
      </c>
      <c r="M50" s="2" t="s">
        <v>148</v>
      </c>
      <c r="N50" s="2" t="s">
        <v>66</v>
      </c>
      <c r="O50" s="2" t="s">
        <v>67</v>
      </c>
      <c r="P50" s="2" t="s">
        <v>54</v>
      </c>
      <c r="Q50" s="2" t="s">
        <v>55</v>
      </c>
      <c r="R50" s="2">
        <v>1</v>
      </c>
      <c r="S50" s="2" t="s">
        <v>307</v>
      </c>
      <c r="T50" s="2" t="s">
        <v>116</v>
      </c>
      <c r="U50" s="2" t="s">
        <v>117</v>
      </c>
      <c r="V50" s="2" t="s">
        <v>106</v>
      </c>
      <c r="W50" s="2" t="s">
        <v>58</v>
      </c>
      <c r="X50" s="2" t="s">
        <v>41</v>
      </c>
      <c r="Y50" s="2" t="s">
        <v>71</v>
      </c>
      <c r="Z50" s="2" t="s">
        <v>59</v>
      </c>
      <c r="AA50" s="2" t="s">
        <v>294</v>
      </c>
    </row>
    <row r="51" spans="1:27" x14ac:dyDescent="0.35">
      <c r="A51" s="2" t="s">
        <v>27</v>
      </c>
      <c r="B51" s="2" t="s">
        <v>308</v>
      </c>
      <c r="C51" s="2" t="s">
        <v>234</v>
      </c>
      <c r="D51" s="2" t="s">
        <v>235</v>
      </c>
      <c r="E51" s="3">
        <v>45301.446284722217</v>
      </c>
      <c r="F51" s="3">
        <v>45301.453923611109</v>
      </c>
      <c r="G51" s="3">
        <v>45301.478229166663</v>
      </c>
      <c r="H51" s="3">
        <v>45301.508224189813</v>
      </c>
      <c r="I51" s="4">
        <v>0.72</v>
      </c>
      <c r="J51" s="2">
        <v>0</v>
      </c>
      <c r="K51" s="2" t="s">
        <v>49</v>
      </c>
      <c r="L51" s="2" t="s">
        <v>135</v>
      </c>
      <c r="M51" s="2" t="s">
        <v>136</v>
      </c>
      <c r="N51" s="2" t="s">
        <v>34</v>
      </c>
      <c r="O51" s="2" t="s">
        <v>35</v>
      </c>
      <c r="P51" s="2" t="s">
        <v>143</v>
      </c>
      <c r="Q51" s="2" t="s">
        <v>55</v>
      </c>
      <c r="R51" s="2">
        <v>0</v>
      </c>
      <c r="S51" s="2" t="s">
        <v>309</v>
      </c>
      <c r="T51" s="2" t="s">
        <v>39</v>
      </c>
      <c r="U51" s="2" t="s">
        <v>40</v>
      </c>
      <c r="V51" s="2" t="s">
        <v>41</v>
      </c>
      <c r="W51" s="2" t="s">
        <v>58</v>
      </c>
      <c r="X51" s="2" t="s">
        <v>139</v>
      </c>
      <c r="Y51" s="2" t="s">
        <v>44</v>
      </c>
      <c r="Z51" s="2" t="s">
        <v>59</v>
      </c>
      <c r="AA51" s="2" t="s">
        <v>310</v>
      </c>
    </row>
    <row r="52" spans="1:27" x14ac:dyDescent="0.35">
      <c r="A52" s="2" t="s">
        <v>27</v>
      </c>
      <c r="B52" s="2" t="s">
        <v>311</v>
      </c>
      <c r="C52" s="2" t="s">
        <v>178</v>
      </c>
      <c r="D52" s="2" t="s">
        <v>63</v>
      </c>
      <c r="E52" s="3">
        <v>45302.125879629632</v>
      </c>
      <c r="F52" s="3">
        <v>45302.130740740737</v>
      </c>
      <c r="G52" s="3">
        <v>45302.200185185182</v>
      </c>
      <c r="H52" s="3">
        <v>45302.250605023153</v>
      </c>
      <c r="I52" s="4">
        <v>1.21</v>
      </c>
      <c r="J52" s="2">
        <v>0</v>
      </c>
      <c r="K52" s="2" t="s">
        <v>49</v>
      </c>
      <c r="L52" s="2" t="s">
        <v>111</v>
      </c>
      <c r="M52" s="2" t="s">
        <v>112</v>
      </c>
      <c r="N52" s="2" t="s">
        <v>66</v>
      </c>
      <c r="O52" s="2" t="s">
        <v>67</v>
      </c>
      <c r="P52" s="2" t="s">
        <v>88</v>
      </c>
      <c r="Q52" s="2" t="s">
        <v>55</v>
      </c>
      <c r="R52" s="2">
        <v>0</v>
      </c>
      <c r="S52" s="2" t="s">
        <v>312</v>
      </c>
      <c r="T52" s="2" t="s">
        <v>313</v>
      </c>
      <c r="U52" s="2" t="s">
        <v>117</v>
      </c>
      <c r="V52" s="2" t="s">
        <v>41</v>
      </c>
      <c r="W52" s="2" t="s">
        <v>42</v>
      </c>
      <c r="X52" s="2" t="s">
        <v>41</v>
      </c>
      <c r="Y52" s="2" t="s">
        <v>71</v>
      </c>
      <c r="Z52" s="2" t="s">
        <v>59</v>
      </c>
      <c r="AA52" s="2" t="s">
        <v>314</v>
      </c>
    </row>
    <row r="53" spans="1:27" x14ac:dyDescent="0.35">
      <c r="A53" s="2" t="s">
        <v>27</v>
      </c>
      <c r="B53" s="2" t="s">
        <v>315</v>
      </c>
      <c r="C53" s="2" t="s">
        <v>142</v>
      </c>
      <c r="D53" s="2" t="s">
        <v>30</v>
      </c>
      <c r="E53" s="3">
        <v>45308.113703703697</v>
      </c>
      <c r="F53" s="3">
        <v>45308.123425925929</v>
      </c>
      <c r="G53" s="3">
        <v>45308.158148148148</v>
      </c>
      <c r="H53" s="3">
        <v>45308.288980833328</v>
      </c>
      <c r="I53" s="4">
        <v>3.14</v>
      </c>
      <c r="J53" s="2">
        <v>0</v>
      </c>
      <c r="K53" s="2" t="s">
        <v>31</v>
      </c>
      <c r="L53" s="2" t="s">
        <v>50</v>
      </c>
      <c r="M53" s="2" t="s">
        <v>51</v>
      </c>
      <c r="N53" s="2" t="s">
        <v>34</v>
      </c>
      <c r="O53" s="2" t="s">
        <v>35</v>
      </c>
      <c r="P53" s="2" t="s">
        <v>130</v>
      </c>
      <c r="Q53" s="2" t="s">
        <v>55</v>
      </c>
      <c r="R53" s="2">
        <v>1</v>
      </c>
      <c r="S53" s="2" t="s">
        <v>316</v>
      </c>
      <c r="T53" s="2" t="s">
        <v>57</v>
      </c>
      <c r="U53" s="2" t="s">
        <v>70</v>
      </c>
      <c r="V53" s="2" t="s">
        <v>41</v>
      </c>
      <c r="W53" s="2" t="s">
        <v>99</v>
      </c>
      <c r="X53" s="2" t="s">
        <v>41</v>
      </c>
      <c r="Y53" s="2" t="s">
        <v>44</v>
      </c>
      <c r="Z53" s="2" t="s">
        <v>59</v>
      </c>
      <c r="AA53" s="2" t="s">
        <v>317</v>
      </c>
    </row>
    <row r="54" spans="1:27" x14ac:dyDescent="0.35">
      <c r="A54" s="2" t="s">
        <v>27</v>
      </c>
      <c r="B54" s="2" t="s">
        <v>318</v>
      </c>
      <c r="C54" s="2" t="s">
        <v>319</v>
      </c>
      <c r="D54" s="2" t="s">
        <v>30</v>
      </c>
      <c r="E54" s="3">
        <v>45312.561423611107</v>
      </c>
      <c r="F54" s="3">
        <v>45312.585729166669</v>
      </c>
      <c r="G54" s="3">
        <v>45312.609340277777</v>
      </c>
      <c r="H54" s="3">
        <v>45312.880596678238</v>
      </c>
      <c r="I54" s="4">
        <v>6.51</v>
      </c>
      <c r="J54" s="2">
        <v>0</v>
      </c>
      <c r="K54" s="2" t="s">
        <v>31</v>
      </c>
      <c r="L54" s="2" t="s">
        <v>32</v>
      </c>
      <c r="M54" s="2" t="s">
        <v>33</v>
      </c>
      <c r="N54" s="2" t="s">
        <v>184</v>
      </c>
      <c r="O54" s="2" t="s">
        <v>185</v>
      </c>
      <c r="P54" s="2" t="s">
        <v>113</v>
      </c>
      <c r="Q54" s="2" t="s">
        <v>114</v>
      </c>
      <c r="R54" s="2">
        <v>0</v>
      </c>
      <c r="S54" s="2" t="s">
        <v>320</v>
      </c>
      <c r="T54" s="2" t="s">
        <v>138</v>
      </c>
      <c r="U54" s="2" t="s">
        <v>70</v>
      </c>
      <c r="V54" s="2" t="s">
        <v>41</v>
      </c>
      <c r="W54" s="2" t="s">
        <v>58</v>
      </c>
      <c r="X54" s="2" t="s">
        <v>43</v>
      </c>
      <c r="Y54" s="2" t="s">
        <v>187</v>
      </c>
      <c r="Z54" s="2" t="s">
        <v>118</v>
      </c>
      <c r="AA54" s="2" t="s">
        <v>321</v>
      </c>
    </row>
    <row r="55" spans="1:27" x14ac:dyDescent="0.35">
      <c r="A55" s="2" t="s">
        <v>27</v>
      </c>
      <c r="B55" s="2" t="s">
        <v>322</v>
      </c>
      <c r="C55" s="2" t="s">
        <v>323</v>
      </c>
      <c r="D55" s="2" t="s">
        <v>30</v>
      </c>
      <c r="E55" s="3">
        <v>45323.369895833333</v>
      </c>
      <c r="F55" s="3">
        <v>45323.417812500003</v>
      </c>
      <c r="G55" s="3">
        <v>45323.438645833332</v>
      </c>
      <c r="H55" s="3">
        <v>45323.701079224527</v>
      </c>
      <c r="I55" s="4">
        <v>6.3</v>
      </c>
      <c r="J55" s="2">
        <v>0</v>
      </c>
      <c r="K55" s="2" t="s">
        <v>96</v>
      </c>
      <c r="L55" s="2" t="s">
        <v>324</v>
      </c>
      <c r="M55" s="2" t="s">
        <v>325</v>
      </c>
      <c r="N55" s="2" t="s">
        <v>326</v>
      </c>
      <c r="O55" s="2" t="s">
        <v>327</v>
      </c>
      <c r="P55" s="2" t="s">
        <v>194</v>
      </c>
      <c r="Q55" s="2" t="s">
        <v>79</v>
      </c>
      <c r="R55" s="2">
        <v>0</v>
      </c>
      <c r="S55" s="2" t="s">
        <v>328</v>
      </c>
      <c r="T55" s="2" t="s">
        <v>285</v>
      </c>
      <c r="U55" s="2" t="s">
        <v>117</v>
      </c>
      <c r="V55" s="2" t="s">
        <v>41</v>
      </c>
      <c r="W55" s="2" t="s">
        <v>107</v>
      </c>
      <c r="X55" s="2" t="s">
        <v>43</v>
      </c>
      <c r="Y55" s="2" t="s">
        <v>41</v>
      </c>
      <c r="Z55" s="2" t="s">
        <v>82</v>
      </c>
      <c r="AA55" s="2" t="s">
        <v>329</v>
      </c>
    </row>
    <row r="56" spans="1:27" x14ac:dyDescent="0.35">
      <c r="A56" s="2" t="s">
        <v>27</v>
      </c>
      <c r="B56" s="2" t="s">
        <v>330</v>
      </c>
      <c r="C56" s="2" t="s">
        <v>211</v>
      </c>
      <c r="D56" s="2" t="s">
        <v>30</v>
      </c>
      <c r="E56" s="3">
        <v>45324.933194444442</v>
      </c>
      <c r="F56" s="3">
        <v>45324.945</v>
      </c>
      <c r="G56" s="3">
        <v>45324.986666666657</v>
      </c>
      <c r="H56" s="3">
        <v>45325.01121138889</v>
      </c>
      <c r="I56" s="4">
        <v>0.59</v>
      </c>
      <c r="J56" s="2">
        <v>0</v>
      </c>
      <c r="K56" s="2" t="s">
        <v>49</v>
      </c>
      <c r="L56" s="2" t="s">
        <v>243</v>
      </c>
      <c r="M56" s="2" t="s">
        <v>244</v>
      </c>
      <c r="N56" s="2" t="s">
        <v>326</v>
      </c>
      <c r="O56" s="2" t="s">
        <v>327</v>
      </c>
      <c r="P56" s="2" t="s">
        <v>130</v>
      </c>
      <c r="Q56" s="2" t="s">
        <v>55</v>
      </c>
      <c r="R56" s="2">
        <v>0</v>
      </c>
      <c r="S56" s="2" t="s">
        <v>331</v>
      </c>
      <c r="T56" s="2" t="s">
        <v>138</v>
      </c>
      <c r="U56" s="2" t="s">
        <v>40</v>
      </c>
      <c r="V56" s="2" t="s">
        <v>246</v>
      </c>
      <c r="W56" s="2" t="s">
        <v>107</v>
      </c>
      <c r="X56" s="2" t="s">
        <v>41</v>
      </c>
      <c r="Y56" s="2" t="s">
        <v>41</v>
      </c>
      <c r="Z56" s="2" t="s">
        <v>59</v>
      </c>
      <c r="AA56" s="2" t="s">
        <v>332</v>
      </c>
    </row>
    <row r="57" spans="1:27" x14ac:dyDescent="0.35">
      <c r="A57" s="2" t="s">
        <v>27</v>
      </c>
      <c r="B57" s="2" t="s">
        <v>333</v>
      </c>
      <c r="C57" s="2" t="s">
        <v>334</v>
      </c>
      <c r="D57" s="2" t="s">
        <v>63</v>
      </c>
      <c r="E57" s="3">
        <v>45335.545335648138</v>
      </c>
      <c r="F57" s="3">
        <v>45335.548113425917</v>
      </c>
      <c r="G57" s="3">
        <v>45335.563391203701</v>
      </c>
      <c r="H57" s="3">
        <v>45335.690535810187</v>
      </c>
      <c r="I57" s="4">
        <v>3.05</v>
      </c>
      <c r="J57" s="2">
        <v>1</v>
      </c>
      <c r="K57" s="2" t="s">
        <v>49</v>
      </c>
      <c r="L57" s="2" t="s">
        <v>191</v>
      </c>
      <c r="M57" s="2" t="s">
        <v>192</v>
      </c>
      <c r="N57" s="2" t="s">
        <v>34</v>
      </c>
      <c r="O57" s="2" t="s">
        <v>35</v>
      </c>
      <c r="P57" s="2" t="s">
        <v>194</v>
      </c>
      <c r="Q57" s="2" t="s">
        <v>79</v>
      </c>
      <c r="R57" s="2">
        <v>0</v>
      </c>
      <c r="S57" s="2" t="s">
        <v>335</v>
      </c>
      <c r="T57" s="2" t="s">
        <v>220</v>
      </c>
      <c r="U57" s="2" t="s">
        <v>40</v>
      </c>
      <c r="V57" s="2" t="s">
        <v>41</v>
      </c>
      <c r="W57" s="2" t="s">
        <v>58</v>
      </c>
      <c r="X57" s="2" t="s">
        <v>41</v>
      </c>
      <c r="Y57" s="2" t="s">
        <v>44</v>
      </c>
      <c r="Z57" s="2" t="s">
        <v>82</v>
      </c>
      <c r="AA57" s="2" t="s">
        <v>209</v>
      </c>
    </row>
    <row r="58" spans="1:27" x14ac:dyDescent="0.35">
      <c r="A58" s="2" t="s">
        <v>27</v>
      </c>
      <c r="B58" s="2" t="s">
        <v>336</v>
      </c>
      <c r="C58" s="2" t="s">
        <v>190</v>
      </c>
      <c r="D58" s="2" t="s">
        <v>30</v>
      </c>
      <c r="E58" s="3">
        <v>45338.880231481482</v>
      </c>
      <c r="F58" s="3">
        <v>45338.895509259259</v>
      </c>
      <c r="G58" s="3">
        <v>45338.944120370368</v>
      </c>
      <c r="H58" s="3">
        <v>45339.003304942133</v>
      </c>
      <c r="I58" s="4">
        <v>1.42</v>
      </c>
      <c r="J58" s="2">
        <v>0</v>
      </c>
      <c r="K58" s="2" t="s">
        <v>31</v>
      </c>
      <c r="L58" s="2" t="s">
        <v>269</v>
      </c>
      <c r="M58" s="2" t="s">
        <v>270</v>
      </c>
      <c r="N58" s="2" t="s">
        <v>128</v>
      </c>
      <c r="O58" s="2" t="s">
        <v>129</v>
      </c>
      <c r="P58" s="2" t="s">
        <v>130</v>
      </c>
      <c r="Q58" s="2" t="s">
        <v>55</v>
      </c>
      <c r="R58" s="2">
        <v>1</v>
      </c>
      <c r="S58" s="2" t="s">
        <v>337</v>
      </c>
      <c r="T58" s="2" t="s">
        <v>69</v>
      </c>
      <c r="U58" s="2" t="s">
        <v>40</v>
      </c>
      <c r="V58" s="2" t="s">
        <v>272</v>
      </c>
      <c r="W58" s="2" t="s">
        <v>81</v>
      </c>
      <c r="X58" s="2" t="s">
        <v>41</v>
      </c>
      <c r="Y58" s="2" t="s">
        <v>41</v>
      </c>
      <c r="Z58" s="2" t="s">
        <v>59</v>
      </c>
      <c r="AA58" s="2" t="s">
        <v>338</v>
      </c>
    </row>
    <row r="59" spans="1:27" x14ac:dyDescent="0.35">
      <c r="A59" s="2" t="s">
        <v>27</v>
      </c>
      <c r="B59" s="2" t="s">
        <v>339</v>
      </c>
      <c r="C59" s="2" t="s">
        <v>340</v>
      </c>
      <c r="D59" s="2" t="s">
        <v>30</v>
      </c>
      <c r="E59" s="3">
        <v>45342.896331018521</v>
      </c>
      <c r="F59" s="3">
        <v>45342.911608796298</v>
      </c>
      <c r="G59" s="3">
        <v>45342.965081018519</v>
      </c>
      <c r="H59" s="3">
        <v>45343.172608773151</v>
      </c>
      <c r="I59" s="4">
        <v>4.9800000000000004</v>
      </c>
      <c r="J59" s="2">
        <v>0</v>
      </c>
      <c r="K59" s="2" t="s">
        <v>31</v>
      </c>
      <c r="L59" s="2" t="s">
        <v>86</v>
      </c>
      <c r="M59" s="2" t="s">
        <v>87</v>
      </c>
      <c r="N59" s="2" t="s">
        <v>66</v>
      </c>
      <c r="O59" s="2" t="s">
        <v>67</v>
      </c>
      <c r="P59" s="2" t="s">
        <v>88</v>
      </c>
      <c r="Q59" s="2" t="s">
        <v>55</v>
      </c>
      <c r="R59" s="2">
        <v>1</v>
      </c>
      <c r="S59" s="2" t="s">
        <v>341</v>
      </c>
      <c r="T59" s="2" t="s">
        <v>132</v>
      </c>
      <c r="U59" s="2" t="s">
        <v>40</v>
      </c>
      <c r="V59" s="2" t="s">
        <v>91</v>
      </c>
      <c r="W59" s="2" t="s">
        <v>107</v>
      </c>
      <c r="X59" s="2" t="s">
        <v>92</v>
      </c>
      <c r="Y59" s="2" t="s">
        <v>71</v>
      </c>
      <c r="Z59" s="2" t="s">
        <v>59</v>
      </c>
      <c r="AA59" s="2" t="s">
        <v>342</v>
      </c>
    </row>
    <row r="60" spans="1:27" x14ac:dyDescent="0.35">
      <c r="A60" s="2" t="s">
        <v>27</v>
      </c>
      <c r="B60" s="2" t="s">
        <v>343</v>
      </c>
      <c r="C60" s="2" t="s">
        <v>152</v>
      </c>
      <c r="D60" s="2" t="s">
        <v>30</v>
      </c>
      <c r="E60" s="3">
        <v>45345.386886574073</v>
      </c>
      <c r="F60" s="3">
        <v>45345.411192129628</v>
      </c>
      <c r="G60" s="3">
        <v>45345.422997685193</v>
      </c>
      <c r="H60" s="3">
        <v>45345.862129513887</v>
      </c>
      <c r="I60" s="4">
        <v>10.54</v>
      </c>
      <c r="J60" s="2">
        <v>0</v>
      </c>
      <c r="K60" s="2" t="s">
        <v>31</v>
      </c>
      <c r="L60" s="2" t="s">
        <v>344</v>
      </c>
      <c r="M60" s="2" t="s">
        <v>345</v>
      </c>
      <c r="N60" s="2" t="s">
        <v>34</v>
      </c>
      <c r="O60" s="2" t="s">
        <v>35</v>
      </c>
      <c r="P60" s="2" t="s">
        <v>113</v>
      </c>
      <c r="Q60" s="2" t="s">
        <v>114</v>
      </c>
      <c r="R60" s="2">
        <v>1</v>
      </c>
      <c r="S60" s="2" t="s">
        <v>346</v>
      </c>
      <c r="T60" s="2" t="s">
        <v>98</v>
      </c>
      <c r="U60" s="2" t="s">
        <v>70</v>
      </c>
      <c r="V60" s="2" t="s">
        <v>41</v>
      </c>
      <c r="W60" s="2" t="s">
        <v>99</v>
      </c>
      <c r="X60" s="2" t="s">
        <v>41</v>
      </c>
      <c r="Y60" s="2" t="s">
        <v>44</v>
      </c>
      <c r="Z60" s="2" t="s">
        <v>118</v>
      </c>
      <c r="AA60" s="2" t="s">
        <v>347</v>
      </c>
    </row>
    <row r="61" spans="1:27" x14ac:dyDescent="0.35">
      <c r="A61" s="2" t="s">
        <v>27</v>
      </c>
      <c r="B61" s="2" t="s">
        <v>348</v>
      </c>
      <c r="C61" s="2" t="s">
        <v>190</v>
      </c>
      <c r="D61" s="2" t="s">
        <v>30</v>
      </c>
      <c r="E61" s="3">
        <v>45353.719710648147</v>
      </c>
      <c r="F61" s="3">
        <v>45353.735682870371</v>
      </c>
      <c r="G61" s="3">
        <v>45353.827349537038</v>
      </c>
      <c r="H61" s="3">
        <v>45354.058362997683</v>
      </c>
      <c r="I61" s="4">
        <v>5.54</v>
      </c>
      <c r="J61" s="2">
        <v>0</v>
      </c>
      <c r="K61" s="2" t="s">
        <v>49</v>
      </c>
      <c r="L61" s="2" t="s">
        <v>126</v>
      </c>
      <c r="M61" s="2" t="s">
        <v>127</v>
      </c>
      <c r="N61" s="2" t="s">
        <v>128</v>
      </c>
      <c r="O61" s="2" t="s">
        <v>129</v>
      </c>
      <c r="P61" s="2" t="s">
        <v>130</v>
      </c>
      <c r="Q61" s="2" t="s">
        <v>55</v>
      </c>
      <c r="R61" s="2">
        <v>1</v>
      </c>
      <c r="S61" s="2" t="s">
        <v>349</v>
      </c>
      <c r="T61" s="2" t="s">
        <v>39</v>
      </c>
      <c r="U61" s="2" t="s">
        <v>40</v>
      </c>
      <c r="V61" s="2" t="s">
        <v>41</v>
      </c>
      <c r="W61" s="2" t="s">
        <v>42</v>
      </c>
      <c r="X61" s="2" t="s">
        <v>41</v>
      </c>
      <c r="Y61" s="2" t="s">
        <v>41</v>
      </c>
      <c r="Z61" s="2" t="s">
        <v>59</v>
      </c>
      <c r="AA61" s="2" t="s">
        <v>350</v>
      </c>
    </row>
    <row r="62" spans="1:27" x14ac:dyDescent="0.35">
      <c r="A62" s="2" t="s">
        <v>27</v>
      </c>
      <c r="B62" s="2" t="s">
        <v>351</v>
      </c>
      <c r="C62" s="2" t="s">
        <v>352</v>
      </c>
      <c r="D62" s="2" t="s">
        <v>30</v>
      </c>
      <c r="E62" s="3">
        <v>45370.436377314807</v>
      </c>
      <c r="F62" s="3">
        <v>45370.444710648153</v>
      </c>
      <c r="G62" s="3">
        <v>45370.470405092587</v>
      </c>
      <c r="H62" s="3">
        <v>45370.556478182873</v>
      </c>
      <c r="I62" s="4">
        <v>2.0699999999999998</v>
      </c>
      <c r="J62" s="2">
        <v>0</v>
      </c>
      <c r="K62" s="2" t="s">
        <v>31</v>
      </c>
      <c r="L62" s="2" t="s">
        <v>75</v>
      </c>
      <c r="M62" s="2" t="s">
        <v>76</v>
      </c>
      <c r="N62" s="2" t="s">
        <v>77</v>
      </c>
      <c r="O62" s="2" t="s">
        <v>35</v>
      </c>
      <c r="P62" s="2" t="s">
        <v>78</v>
      </c>
      <c r="Q62" s="2" t="s">
        <v>79</v>
      </c>
      <c r="R62" s="2">
        <v>1</v>
      </c>
      <c r="S62" s="2" t="s">
        <v>353</v>
      </c>
      <c r="T62" s="2" t="s">
        <v>132</v>
      </c>
      <c r="U62" s="2" t="s">
        <v>40</v>
      </c>
      <c r="V62" s="2" t="s">
        <v>41</v>
      </c>
      <c r="W62" s="2" t="s">
        <v>107</v>
      </c>
      <c r="X62" s="2" t="s">
        <v>41</v>
      </c>
      <c r="Y62" s="2" t="s">
        <v>44</v>
      </c>
      <c r="Z62" s="2" t="s">
        <v>82</v>
      </c>
      <c r="AA62" s="2" t="s">
        <v>267</v>
      </c>
    </row>
    <row r="63" spans="1:27" x14ac:dyDescent="0.35">
      <c r="A63" s="2" t="s">
        <v>27</v>
      </c>
      <c r="B63" s="2" t="s">
        <v>354</v>
      </c>
      <c r="C63" s="2" t="s">
        <v>173</v>
      </c>
      <c r="D63" s="2" t="s">
        <v>30</v>
      </c>
      <c r="E63" s="3">
        <v>45377.689247685194</v>
      </c>
      <c r="F63" s="3"/>
      <c r="G63" s="3">
        <v>45377.846192129633</v>
      </c>
      <c r="H63" s="3">
        <v>45378.062138275462</v>
      </c>
      <c r="I63" s="4">
        <v>5.18</v>
      </c>
      <c r="J63" s="2">
        <v>0</v>
      </c>
      <c r="K63" s="2" t="s">
        <v>31</v>
      </c>
      <c r="L63" s="2" t="s">
        <v>324</v>
      </c>
      <c r="M63" s="2" t="s">
        <v>325</v>
      </c>
      <c r="N63" s="2" t="s">
        <v>128</v>
      </c>
      <c r="O63" s="2" t="s">
        <v>129</v>
      </c>
      <c r="P63" s="2" t="s">
        <v>130</v>
      </c>
      <c r="Q63" s="2" t="s">
        <v>55</v>
      </c>
      <c r="R63" s="2">
        <v>0</v>
      </c>
      <c r="S63" s="2" t="s">
        <v>355</v>
      </c>
      <c r="T63" s="2" t="s">
        <v>164</v>
      </c>
      <c r="U63" s="2" t="s">
        <v>40</v>
      </c>
      <c r="V63" s="2" t="s">
        <v>41</v>
      </c>
      <c r="W63" s="2" t="s">
        <v>81</v>
      </c>
      <c r="X63" s="2" t="s">
        <v>43</v>
      </c>
      <c r="Y63" s="2" t="s">
        <v>41</v>
      </c>
      <c r="Z63" s="2" t="s">
        <v>59</v>
      </c>
      <c r="AA63" s="2" t="s">
        <v>356</v>
      </c>
    </row>
    <row r="64" spans="1:27" x14ac:dyDescent="0.35">
      <c r="A64" s="2" t="s">
        <v>27</v>
      </c>
      <c r="B64" s="2" t="s">
        <v>357</v>
      </c>
      <c r="C64" s="2" t="s">
        <v>156</v>
      </c>
      <c r="D64" s="2" t="s">
        <v>30</v>
      </c>
      <c r="E64" s="3">
        <v>45378.254895833343</v>
      </c>
      <c r="F64" s="3">
        <v>45378.259756944448</v>
      </c>
      <c r="G64" s="3">
        <v>45378.274340277778</v>
      </c>
      <c r="H64" s="3">
        <v>45378.311566331016</v>
      </c>
      <c r="I64" s="4">
        <v>0.89</v>
      </c>
      <c r="J64" s="2">
        <v>1</v>
      </c>
      <c r="K64" s="2" t="s">
        <v>49</v>
      </c>
      <c r="L64" s="2" t="s">
        <v>212</v>
      </c>
      <c r="M64" s="2" t="s">
        <v>213</v>
      </c>
      <c r="N64" s="2" t="s">
        <v>34</v>
      </c>
      <c r="O64" s="2" t="s">
        <v>35</v>
      </c>
      <c r="P64" s="2" t="s">
        <v>36</v>
      </c>
      <c r="Q64" s="2" t="s">
        <v>37</v>
      </c>
      <c r="R64" s="2">
        <v>0</v>
      </c>
      <c r="S64" s="2" t="s">
        <v>358</v>
      </c>
      <c r="T64" s="2" t="s">
        <v>132</v>
      </c>
      <c r="U64" s="2" t="s">
        <v>40</v>
      </c>
      <c r="V64" s="2" t="s">
        <v>41</v>
      </c>
      <c r="W64" s="2" t="s">
        <v>42</v>
      </c>
      <c r="X64" s="2" t="s">
        <v>41</v>
      </c>
      <c r="Y64" s="2" t="s">
        <v>44</v>
      </c>
      <c r="Z64" s="2" t="s">
        <v>45</v>
      </c>
      <c r="AA64" s="2" t="s">
        <v>359</v>
      </c>
    </row>
    <row r="65" spans="1:27" x14ac:dyDescent="0.35">
      <c r="A65" s="2" t="s">
        <v>27</v>
      </c>
      <c r="B65" s="2" t="s">
        <v>360</v>
      </c>
      <c r="C65" s="2" t="s">
        <v>361</v>
      </c>
      <c r="D65" s="2" t="s">
        <v>30</v>
      </c>
      <c r="E65" s="3">
        <v>45378.873113425929</v>
      </c>
      <c r="F65" s="3">
        <v>45378.883530092593</v>
      </c>
      <c r="G65" s="3">
        <v>45378.916168981479</v>
      </c>
      <c r="H65" s="3">
        <v>45379.202461921297</v>
      </c>
      <c r="I65" s="4">
        <v>6.87</v>
      </c>
      <c r="J65" s="2">
        <v>1</v>
      </c>
      <c r="K65" s="2" t="s">
        <v>49</v>
      </c>
      <c r="L65" s="2" t="s">
        <v>75</v>
      </c>
      <c r="M65" s="2" t="s">
        <v>76</v>
      </c>
      <c r="N65" s="2" t="s">
        <v>77</v>
      </c>
      <c r="O65" s="2" t="s">
        <v>35</v>
      </c>
      <c r="P65" s="2" t="s">
        <v>78</v>
      </c>
      <c r="Q65" s="2" t="s">
        <v>79</v>
      </c>
      <c r="R65" s="2">
        <v>1</v>
      </c>
      <c r="S65" s="2" t="s">
        <v>362</v>
      </c>
      <c r="T65" s="2" t="s">
        <v>220</v>
      </c>
      <c r="U65" s="2" t="s">
        <v>40</v>
      </c>
      <c r="V65" s="2" t="s">
        <v>41</v>
      </c>
      <c r="W65" s="2" t="s">
        <v>42</v>
      </c>
      <c r="X65" s="2" t="s">
        <v>41</v>
      </c>
      <c r="Y65" s="2" t="s">
        <v>44</v>
      </c>
      <c r="Z65" s="2" t="s">
        <v>82</v>
      </c>
      <c r="AA65" s="2" t="s">
        <v>363</v>
      </c>
    </row>
    <row r="66" spans="1:27" x14ac:dyDescent="0.35">
      <c r="A66" s="2" t="s">
        <v>27</v>
      </c>
      <c r="B66" s="2" t="s">
        <v>364</v>
      </c>
      <c r="C66" s="2" t="s">
        <v>207</v>
      </c>
      <c r="D66" s="2" t="s">
        <v>63</v>
      </c>
      <c r="E66" s="3">
        <v>45392.663287037038</v>
      </c>
      <c r="F66" s="3">
        <v>45392.693842592591</v>
      </c>
      <c r="G66" s="3">
        <v>45392.723703703698</v>
      </c>
      <c r="H66" s="3">
        <v>45392.87483940972</v>
      </c>
      <c r="I66" s="4">
        <v>3.63</v>
      </c>
      <c r="J66" s="2">
        <v>0</v>
      </c>
      <c r="K66" s="2" t="s">
        <v>96</v>
      </c>
      <c r="L66" s="2" t="s">
        <v>75</v>
      </c>
      <c r="M66" s="2" t="s">
        <v>76</v>
      </c>
      <c r="N66" s="2" t="s">
        <v>77</v>
      </c>
      <c r="O66" s="2" t="s">
        <v>35</v>
      </c>
      <c r="P66" s="2" t="s">
        <v>78</v>
      </c>
      <c r="Q66" s="2" t="s">
        <v>79</v>
      </c>
      <c r="R66" s="2">
        <v>1</v>
      </c>
      <c r="S66" s="2" t="s">
        <v>365</v>
      </c>
      <c r="T66" s="2" t="s">
        <v>90</v>
      </c>
      <c r="U66" s="2" t="s">
        <v>40</v>
      </c>
      <c r="V66" s="2" t="s">
        <v>41</v>
      </c>
      <c r="W66" s="2" t="s">
        <v>58</v>
      </c>
      <c r="X66" s="2" t="s">
        <v>41</v>
      </c>
      <c r="Y66" s="2" t="s">
        <v>44</v>
      </c>
      <c r="Z66" s="2" t="s">
        <v>82</v>
      </c>
      <c r="AA66" s="2" t="s">
        <v>209</v>
      </c>
    </row>
    <row r="67" spans="1:27" x14ac:dyDescent="0.35">
      <c r="A67" s="2" t="s">
        <v>27</v>
      </c>
      <c r="B67" s="2" t="s">
        <v>366</v>
      </c>
      <c r="C67" s="2" t="s">
        <v>156</v>
      </c>
      <c r="D67" s="2" t="s">
        <v>235</v>
      </c>
      <c r="E67" s="3">
        <v>45402.412835648152</v>
      </c>
      <c r="F67" s="3">
        <v>45402.420474537037</v>
      </c>
      <c r="G67" s="3">
        <v>45402.435057870367</v>
      </c>
      <c r="H67" s="3">
        <v>45402.665701979167</v>
      </c>
      <c r="I67" s="4">
        <v>5.54</v>
      </c>
      <c r="J67" s="2">
        <v>0</v>
      </c>
      <c r="K67" s="2" t="s">
        <v>31</v>
      </c>
      <c r="L67" s="2" t="s">
        <v>157</v>
      </c>
      <c r="M67" s="2" t="s">
        <v>158</v>
      </c>
      <c r="N67" s="2" t="s">
        <v>159</v>
      </c>
      <c r="O67" s="2" t="s">
        <v>160</v>
      </c>
      <c r="P67" s="2" t="s">
        <v>161</v>
      </c>
      <c r="Q67" s="2" t="s">
        <v>162</v>
      </c>
      <c r="R67" s="2">
        <v>1</v>
      </c>
      <c r="S67" s="2" t="s">
        <v>367</v>
      </c>
      <c r="T67" s="2" t="s">
        <v>98</v>
      </c>
      <c r="U67" s="2" t="s">
        <v>70</v>
      </c>
      <c r="V67" s="2" t="s">
        <v>41</v>
      </c>
      <c r="W67" s="2" t="s">
        <v>99</v>
      </c>
      <c r="X67" s="2" t="s">
        <v>165</v>
      </c>
      <c r="Y67" s="2" t="s">
        <v>41</v>
      </c>
      <c r="Z67" s="2" t="s">
        <v>166</v>
      </c>
      <c r="AA67" s="2" t="s">
        <v>368</v>
      </c>
    </row>
    <row r="68" spans="1:27" x14ac:dyDescent="0.35">
      <c r="A68" s="2" t="s">
        <v>27</v>
      </c>
      <c r="B68" s="2" t="s">
        <v>369</v>
      </c>
      <c r="C68" s="2" t="s">
        <v>48</v>
      </c>
      <c r="D68" s="2" t="s">
        <v>30</v>
      </c>
      <c r="E68" s="3">
        <v>45407.377569444441</v>
      </c>
      <c r="F68" s="3">
        <v>45407.390763888892</v>
      </c>
      <c r="G68" s="3">
        <v>45407.440763888888</v>
      </c>
      <c r="H68" s="3">
        <v>45407.571726284717</v>
      </c>
      <c r="I68" s="4">
        <v>3.14</v>
      </c>
      <c r="J68" s="2">
        <v>0</v>
      </c>
      <c r="K68" s="2" t="s">
        <v>31</v>
      </c>
      <c r="L68" s="2" t="s">
        <v>86</v>
      </c>
      <c r="M68" s="2" t="s">
        <v>87</v>
      </c>
      <c r="N68" s="2" t="s">
        <v>66</v>
      </c>
      <c r="O68" s="2" t="s">
        <v>67</v>
      </c>
      <c r="P68" s="2" t="s">
        <v>88</v>
      </c>
      <c r="Q68" s="2" t="s">
        <v>55</v>
      </c>
      <c r="R68" s="2">
        <v>1</v>
      </c>
      <c r="S68" s="2" t="s">
        <v>370</v>
      </c>
      <c r="T68" s="2" t="s">
        <v>39</v>
      </c>
      <c r="U68" s="2" t="s">
        <v>40</v>
      </c>
      <c r="V68" s="2" t="s">
        <v>91</v>
      </c>
      <c r="W68" s="2" t="s">
        <v>42</v>
      </c>
      <c r="X68" s="2" t="s">
        <v>92</v>
      </c>
      <c r="Y68" s="2" t="s">
        <v>71</v>
      </c>
      <c r="Z68" s="2" t="s">
        <v>59</v>
      </c>
      <c r="AA68" s="2" t="s">
        <v>93</v>
      </c>
    </row>
    <row r="69" spans="1:27" x14ac:dyDescent="0.35">
      <c r="A69" s="2" t="s">
        <v>27</v>
      </c>
      <c r="B69" s="2" t="s">
        <v>371</v>
      </c>
      <c r="C69" s="2" t="s">
        <v>372</v>
      </c>
      <c r="D69" s="2" t="s">
        <v>30</v>
      </c>
      <c r="E69" s="3">
        <v>45410.581284722219</v>
      </c>
      <c r="F69" s="3">
        <v>45410.633368055547</v>
      </c>
      <c r="G69" s="3">
        <v>45410.663229166668</v>
      </c>
      <c r="H69" s="3">
        <v>45410.804755752317</v>
      </c>
      <c r="I69" s="4">
        <v>3.4</v>
      </c>
      <c r="J69" s="2">
        <v>0</v>
      </c>
      <c r="K69" s="2" t="s">
        <v>31</v>
      </c>
      <c r="L69" s="2" t="s">
        <v>32</v>
      </c>
      <c r="M69" s="2" t="s">
        <v>33</v>
      </c>
      <c r="N69" s="2" t="s">
        <v>184</v>
      </c>
      <c r="O69" s="2" t="s">
        <v>185</v>
      </c>
      <c r="P69" s="2" t="s">
        <v>113</v>
      </c>
      <c r="Q69" s="2" t="s">
        <v>114</v>
      </c>
      <c r="R69" s="2">
        <v>1</v>
      </c>
      <c r="S69" s="2" t="s">
        <v>373</v>
      </c>
      <c r="T69" s="2" t="s">
        <v>132</v>
      </c>
      <c r="U69" s="2" t="s">
        <v>40</v>
      </c>
      <c r="V69" s="2" t="s">
        <v>41</v>
      </c>
      <c r="W69" s="2" t="s">
        <v>107</v>
      </c>
      <c r="X69" s="2" t="s">
        <v>43</v>
      </c>
      <c r="Y69" s="2" t="s">
        <v>187</v>
      </c>
      <c r="Z69" s="2" t="s">
        <v>118</v>
      </c>
      <c r="AA69" s="2" t="s">
        <v>374</v>
      </c>
    </row>
    <row r="70" spans="1:27" x14ac:dyDescent="0.35">
      <c r="A70" s="2" t="s">
        <v>27</v>
      </c>
      <c r="B70" s="2" t="s">
        <v>375</v>
      </c>
      <c r="C70" s="2" t="s">
        <v>334</v>
      </c>
      <c r="D70" s="2" t="s">
        <v>30</v>
      </c>
      <c r="E70" s="3">
        <v>45411.908136574071</v>
      </c>
      <c r="F70" s="3">
        <v>45411.937997685192</v>
      </c>
      <c r="G70" s="3">
        <v>45411.971331018518</v>
      </c>
      <c r="H70" s="3">
        <v>45412.184252893523</v>
      </c>
      <c r="I70" s="4">
        <v>5.1100000000000003</v>
      </c>
      <c r="J70" s="2">
        <v>0</v>
      </c>
      <c r="K70" s="2" t="s">
        <v>31</v>
      </c>
      <c r="L70" s="2" t="s">
        <v>191</v>
      </c>
      <c r="M70" s="2" t="s">
        <v>192</v>
      </c>
      <c r="N70" s="2" t="s">
        <v>159</v>
      </c>
      <c r="O70" s="2" t="s">
        <v>160</v>
      </c>
      <c r="P70" s="2" t="s">
        <v>130</v>
      </c>
      <c r="Q70" s="2" t="s">
        <v>55</v>
      </c>
      <c r="R70" s="2">
        <v>1</v>
      </c>
      <c r="S70" s="2" t="s">
        <v>376</v>
      </c>
      <c r="T70" s="2" t="s">
        <v>164</v>
      </c>
      <c r="U70" s="2" t="s">
        <v>40</v>
      </c>
      <c r="V70" s="2" t="s">
        <v>41</v>
      </c>
      <c r="W70" s="2" t="s">
        <v>99</v>
      </c>
      <c r="X70" s="2" t="s">
        <v>41</v>
      </c>
      <c r="Y70" s="2" t="s">
        <v>41</v>
      </c>
      <c r="Z70" s="2" t="s">
        <v>59</v>
      </c>
      <c r="AA70" s="2" t="s">
        <v>171</v>
      </c>
    </row>
    <row r="71" spans="1:27" x14ac:dyDescent="0.35">
      <c r="A71" s="2" t="s">
        <v>27</v>
      </c>
      <c r="B71" s="2" t="s">
        <v>377</v>
      </c>
      <c r="C71" s="2" t="s">
        <v>110</v>
      </c>
      <c r="D71" s="2" t="s">
        <v>30</v>
      </c>
      <c r="E71" s="3">
        <v>45415.859907407408</v>
      </c>
      <c r="F71" s="3">
        <v>45415.864074074067</v>
      </c>
      <c r="G71" s="3">
        <v>45415.880046296297</v>
      </c>
      <c r="H71" s="3">
        <v>45415.960289756942</v>
      </c>
      <c r="I71" s="4">
        <v>1.93</v>
      </c>
      <c r="J71" s="2">
        <v>0</v>
      </c>
      <c r="K71" s="2" t="s">
        <v>49</v>
      </c>
      <c r="L71" s="2" t="s">
        <v>243</v>
      </c>
      <c r="M71" s="2" t="s">
        <v>244</v>
      </c>
      <c r="N71" s="2" t="s">
        <v>184</v>
      </c>
      <c r="O71" s="2" t="s">
        <v>185</v>
      </c>
      <c r="P71" s="2" t="s">
        <v>78</v>
      </c>
      <c r="Q71" s="2" t="s">
        <v>79</v>
      </c>
      <c r="R71" s="2">
        <v>1</v>
      </c>
      <c r="S71" s="2" t="s">
        <v>378</v>
      </c>
      <c r="T71" s="2" t="s">
        <v>90</v>
      </c>
      <c r="U71" s="2" t="s">
        <v>40</v>
      </c>
      <c r="V71" s="2" t="s">
        <v>246</v>
      </c>
      <c r="W71" s="2" t="s">
        <v>107</v>
      </c>
      <c r="X71" s="2" t="s">
        <v>41</v>
      </c>
      <c r="Y71" s="2" t="s">
        <v>187</v>
      </c>
      <c r="Z71" s="2" t="s">
        <v>82</v>
      </c>
      <c r="AA71" s="2" t="s">
        <v>379</v>
      </c>
    </row>
    <row r="72" spans="1:27" x14ac:dyDescent="0.35">
      <c r="A72" s="2" t="s">
        <v>27</v>
      </c>
      <c r="B72" s="2" t="s">
        <v>380</v>
      </c>
      <c r="C72" s="2" t="s">
        <v>381</v>
      </c>
      <c r="D72" s="2" t="s">
        <v>30</v>
      </c>
      <c r="E72" s="3">
        <v>45418.875625000001</v>
      </c>
      <c r="F72" s="3">
        <v>45418.904791666668</v>
      </c>
      <c r="G72" s="3">
        <v>45418.939513888887</v>
      </c>
      <c r="H72" s="3">
        <v>45419.219219236111</v>
      </c>
      <c r="I72" s="4">
        <v>6.71</v>
      </c>
      <c r="J72" s="2">
        <v>0</v>
      </c>
      <c r="K72" s="2" t="s">
        <v>96</v>
      </c>
      <c r="L72" s="2" t="s">
        <v>302</v>
      </c>
      <c r="M72" s="2" t="s">
        <v>303</v>
      </c>
      <c r="N72" s="2" t="s">
        <v>193</v>
      </c>
      <c r="O72" s="2" t="s">
        <v>67</v>
      </c>
      <c r="P72" s="2" t="s">
        <v>194</v>
      </c>
      <c r="Q72" s="2" t="s">
        <v>79</v>
      </c>
      <c r="R72" s="2">
        <v>1</v>
      </c>
      <c r="S72" s="2" t="s">
        <v>382</v>
      </c>
      <c r="T72" s="2" t="s">
        <v>57</v>
      </c>
      <c r="U72" s="2" t="s">
        <v>40</v>
      </c>
      <c r="V72" s="2" t="s">
        <v>41</v>
      </c>
      <c r="W72" s="2" t="s">
        <v>42</v>
      </c>
      <c r="X72" s="2" t="s">
        <v>41</v>
      </c>
      <c r="Y72" s="2" t="s">
        <v>71</v>
      </c>
      <c r="Z72" s="2" t="s">
        <v>82</v>
      </c>
      <c r="AA72" s="2" t="s">
        <v>305</v>
      </c>
    </row>
    <row r="73" spans="1:27" x14ac:dyDescent="0.35">
      <c r="A73" s="2" t="s">
        <v>27</v>
      </c>
      <c r="B73" s="2" t="s">
        <v>383</v>
      </c>
      <c r="C73" s="2" t="s">
        <v>134</v>
      </c>
      <c r="D73" s="2" t="s">
        <v>235</v>
      </c>
      <c r="E73" s="3">
        <v>45422.22934027778</v>
      </c>
      <c r="F73" s="3">
        <v>45422.237673611111</v>
      </c>
      <c r="G73" s="3">
        <v>45422.259201388893</v>
      </c>
      <c r="H73" s="3">
        <v>45422.280646851847</v>
      </c>
      <c r="I73" s="4">
        <v>0.51</v>
      </c>
      <c r="J73" s="2">
        <v>1</v>
      </c>
      <c r="K73" s="2" t="s">
        <v>49</v>
      </c>
      <c r="L73" s="2" t="s">
        <v>111</v>
      </c>
      <c r="M73" s="2" t="s">
        <v>112</v>
      </c>
      <c r="N73" s="2" t="s">
        <v>34</v>
      </c>
      <c r="O73" s="2" t="s">
        <v>35</v>
      </c>
      <c r="P73" s="2" t="s">
        <v>78</v>
      </c>
      <c r="Q73" s="2" t="s">
        <v>79</v>
      </c>
      <c r="R73" s="2">
        <v>1</v>
      </c>
      <c r="S73" s="2" t="s">
        <v>384</v>
      </c>
      <c r="T73" s="2" t="s">
        <v>285</v>
      </c>
      <c r="U73" s="2" t="s">
        <v>117</v>
      </c>
      <c r="V73" s="2" t="s">
        <v>41</v>
      </c>
      <c r="W73" s="2" t="s">
        <v>81</v>
      </c>
      <c r="X73" s="2" t="s">
        <v>41</v>
      </c>
      <c r="Y73" s="2" t="s">
        <v>44</v>
      </c>
      <c r="Z73" s="2" t="s">
        <v>82</v>
      </c>
      <c r="AA73" s="2" t="s">
        <v>83</v>
      </c>
    </row>
    <row r="74" spans="1:27" x14ac:dyDescent="0.35">
      <c r="A74" s="2" t="s">
        <v>27</v>
      </c>
      <c r="B74" s="2" t="s">
        <v>385</v>
      </c>
      <c r="C74" s="2" t="s">
        <v>352</v>
      </c>
      <c r="D74" s="2" t="s">
        <v>63</v>
      </c>
      <c r="E74" s="3">
        <v>45422.784641203703</v>
      </c>
      <c r="F74" s="3">
        <v>45422.839502314811</v>
      </c>
      <c r="G74" s="3">
        <v>45422.901307870372</v>
      </c>
      <c r="H74" s="3">
        <v>45423.00511337963</v>
      </c>
      <c r="I74" s="4">
        <v>2.4900000000000002</v>
      </c>
      <c r="J74" s="2">
        <v>0</v>
      </c>
      <c r="K74" s="2" t="s">
        <v>49</v>
      </c>
      <c r="L74" s="2" t="s">
        <v>75</v>
      </c>
      <c r="M74" s="2" t="s">
        <v>76</v>
      </c>
      <c r="N74" s="2" t="s">
        <v>77</v>
      </c>
      <c r="O74" s="2" t="s">
        <v>35</v>
      </c>
      <c r="P74" s="2" t="s">
        <v>78</v>
      </c>
      <c r="Q74" s="2" t="s">
        <v>79</v>
      </c>
      <c r="R74" s="2">
        <v>1</v>
      </c>
      <c r="S74" s="2" t="s">
        <v>386</v>
      </c>
      <c r="T74" s="2" t="s">
        <v>132</v>
      </c>
      <c r="U74" s="2" t="s">
        <v>40</v>
      </c>
      <c r="V74" s="2" t="s">
        <v>41</v>
      </c>
      <c r="W74" s="2" t="s">
        <v>42</v>
      </c>
      <c r="X74" s="2" t="s">
        <v>41</v>
      </c>
      <c r="Y74" s="2" t="s">
        <v>44</v>
      </c>
      <c r="Z74" s="2" t="s">
        <v>82</v>
      </c>
      <c r="AA74" s="2" t="s">
        <v>363</v>
      </c>
    </row>
    <row r="75" spans="1:27" x14ac:dyDescent="0.35">
      <c r="A75" s="2" t="s">
        <v>27</v>
      </c>
      <c r="B75" s="2" t="s">
        <v>387</v>
      </c>
      <c r="C75" s="2" t="s">
        <v>74</v>
      </c>
      <c r="D75" s="2" t="s">
        <v>30</v>
      </c>
      <c r="E75" s="3">
        <v>45423.391331018523</v>
      </c>
      <c r="F75" s="3">
        <v>45423.396192129629</v>
      </c>
      <c r="G75" s="3">
        <v>45423.410775462973</v>
      </c>
      <c r="H75" s="3">
        <v>45423.510988553237</v>
      </c>
      <c r="I75" s="4">
        <v>2.41</v>
      </c>
      <c r="J75" s="2">
        <v>0</v>
      </c>
      <c r="K75" s="2" t="s">
        <v>31</v>
      </c>
      <c r="L75" s="2" t="s">
        <v>86</v>
      </c>
      <c r="M75" s="2" t="s">
        <v>87</v>
      </c>
      <c r="N75" s="2" t="s">
        <v>66</v>
      </c>
      <c r="O75" s="2" t="s">
        <v>67</v>
      </c>
      <c r="P75" s="2" t="s">
        <v>88</v>
      </c>
      <c r="Q75" s="2" t="s">
        <v>55</v>
      </c>
      <c r="R75" s="2">
        <v>0</v>
      </c>
      <c r="S75" s="2" t="s">
        <v>388</v>
      </c>
      <c r="T75" s="2" t="s">
        <v>313</v>
      </c>
      <c r="U75" s="2" t="s">
        <v>117</v>
      </c>
      <c r="V75" s="2" t="s">
        <v>91</v>
      </c>
      <c r="W75" s="2" t="s">
        <v>58</v>
      </c>
      <c r="X75" s="2" t="s">
        <v>92</v>
      </c>
      <c r="Y75" s="2" t="s">
        <v>71</v>
      </c>
      <c r="Z75" s="2" t="s">
        <v>59</v>
      </c>
      <c r="AA75" s="2" t="s">
        <v>389</v>
      </c>
    </row>
    <row r="76" spans="1:27" x14ac:dyDescent="0.35">
      <c r="A76" s="2" t="s">
        <v>27</v>
      </c>
      <c r="B76" s="2" t="s">
        <v>390</v>
      </c>
      <c r="C76" s="2" t="s">
        <v>156</v>
      </c>
      <c r="D76" s="2" t="s">
        <v>30</v>
      </c>
      <c r="E76" s="3">
        <v>45428.446168981478</v>
      </c>
      <c r="F76" s="3">
        <v>45428.449641203697</v>
      </c>
      <c r="G76" s="3">
        <v>45428.467002314806</v>
      </c>
      <c r="H76" s="3">
        <v>45428.49920583333</v>
      </c>
      <c r="I76" s="4">
        <v>0.77</v>
      </c>
      <c r="J76" s="2">
        <v>0</v>
      </c>
      <c r="K76" s="2" t="s">
        <v>31</v>
      </c>
      <c r="L76" s="2" t="s">
        <v>212</v>
      </c>
      <c r="M76" s="2" t="s">
        <v>213</v>
      </c>
      <c r="N76" s="2" t="s">
        <v>184</v>
      </c>
      <c r="O76" s="2" t="s">
        <v>185</v>
      </c>
      <c r="P76" s="2" t="s">
        <v>194</v>
      </c>
      <c r="Q76" s="2" t="s">
        <v>79</v>
      </c>
      <c r="R76" s="2">
        <v>1</v>
      </c>
      <c r="S76" s="2" t="s">
        <v>391</v>
      </c>
      <c r="T76" s="2" t="s">
        <v>132</v>
      </c>
      <c r="U76" s="2" t="s">
        <v>40</v>
      </c>
      <c r="V76" s="2" t="s">
        <v>41</v>
      </c>
      <c r="W76" s="2" t="s">
        <v>99</v>
      </c>
      <c r="X76" s="2" t="s">
        <v>41</v>
      </c>
      <c r="Y76" s="2" t="s">
        <v>187</v>
      </c>
      <c r="Z76" s="2" t="s">
        <v>82</v>
      </c>
      <c r="AA76" s="2" t="s">
        <v>392</v>
      </c>
    </row>
    <row r="77" spans="1:27" x14ac:dyDescent="0.35">
      <c r="A77" s="2" t="s">
        <v>27</v>
      </c>
      <c r="B77" s="2" t="s">
        <v>393</v>
      </c>
      <c r="C77" s="2" t="s">
        <v>394</v>
      </c>
      <c r="D77" s="2" t="s">
        <v>30</v>
      </c>
      <c r="E77" s="3">
        <v>45428.888032407413</v>
      </c>
      <c r="F77" s="3">
        <v>45428.893587962957</v>
      </c>
      <c r="G77" s="3">
        <v>45428.911643518521</v>
      </c>
      <c r="H77" s="3">
        <v>45428.978133009259</v>
      </c>
      <c r="I77" s="4">
        <v>1.6</v>
      </c>
      <c r="J77" s="2">
        <v>0</v>
      </c>
      <c r="K77" s="2" t="s">
        <v>31</v>
      </c>
      <c r="L77" s="2" t="s">
        <v>191</v>
      </c>
      <c r="M77" s="2" t="s">
        <v>192</v>
      </c>
      <c r="N77" s="2" t="s">
        <v>52</v>
      </c>
      <c r="O77" s="2" t="s">
        <v>53</v>
      </c>
      <c r="P77" s="2" t="s">
        <v>78</v>
      </c>
      <c r="Q77" s="2" t="s">
        <v>79</v>
      </c>
      <c r="R77" s="2">
        <v>0</v>
      </c>
      <c r="S77" s="2" t="s">
        <v>395</v>
      </c>
      <c r="T77" s="2" t="s">
        <v>98</v>
      </c>
      <c r="U77" s="2" t="s">
        <v>40</v>
      </c>
      <c r="V77" s="2" t="s">
        <v>41</v>
      </c>
      <c r="W77" s="2" t="s">
        <v>107</v>
      </c>
      <c r="X77" s="2" t="s">
        <v>41</v>
      </c>
      <c r="Y77" s="2" t="s">
        <v>41</v>
      </c>
      <c r="Z77" s="2" t="s">
        <v>82</v>
      </c>
      <c r="AA77" s="2" t="s">
        <v>396</v>
      </c>
    </row>
    <row r="78" spans="1:27" x14ac:dyDescent="0.35">
      <c r="A78" s="2" t="s">
        <v>27</v>
      </c>
      <c r="B78" s="2" t="s">
        <v>397</v>
      </c>
      <c r="C78" s="2" t="s">
        <v>95</v>
      </c>
      <c r="D78" s="2" t="s">
        <v>30</v>
      </c>
      <c r="E78" s="3">
        <v>45441.934872685182</v>
      </c>
      <c r="F78" s="3">
        <v>45441.962650462963</v>
      </c>
      <c r="G78" s="3">
        <v>45441.992511574077</v>
      </c>
      <c r="H78" s="3">
        <v>45442.499384803239</v>
      </c>
      <c r="I78" s="4">
        <v>12.16</v>
      </c>
      <c r="J78" s="2">
        <v>0</v>
      </c>
      <c r="K78" s="2" t="s">
        <v>96</v>
      </c>
      <c r="L78" s="2" t="s">
        <v>147</v>
      </c>
      <c r="M78" s="2" t="s">
        <v>148</v>
      </c>
      <c r="N78" s="2" t="s">
        <v>66</v>
      </c>
      <c r="O78" s="2" t="s">
        <v>67</v>
      </c>
      <c r="P78" s="2" t="s">
        <v>54</v>
      </c>
      <c r="Q78" s="2" t="s">
        <v>55</v>
      </c>
      <c r="R78" s="2">
        <v>1</v>
      </c>
      <c r="S78" s="2" t="s">
        <v>398</v>
      </c>
      <c r="T78" s="2" t="s">
        <v>69</v>
      </c>
      <c r="U78" s="2" t="s">
        <v>40</v>
      </c>
      <c r="V78" s="2" t="s">
        <v>106</v>
      </c>
      <c r="W78" s="2" t="s">
        <v>99</v>
      </c>
      <c r="X78" s="2" t="s">
        <v>41</v>
      </c>
      <c r="Y78" s="2" t="s">
        <v>71</v>
      </c>
      <c r="Z78" s="2" t="s">
        <v>59</v>
      </c>
      <c r="AA78" s="2" t="s">
        <v>150</v>
      </c>
    </row>
    <row r="79" spans="1:27" x14ac:dyDescent="0.35">
      <c r="A79" s="2" t="s">
        <v>27</v>
      </c>
      <c r="B79" s="2" t="s">
        <v>399</v>
      </c>
      <c r="C79" s="2" t="s">
        <v>211</v>
      </c>
      <c r="D79" s="2" t="s">
        <v>235</v>
      </c>
      <c r="E79" s="3">
        <v>45442.401967592603</v>
      </c>
      <c r="F79" s="3">
        <v>45442.404050925928</v>
      </c>
      <c r="G79" s="3">
        <v>45442.44085648148</v>
      </c>
      <c r="H79" s="3">
        <v>45442.492803217603</v>
      </c>
      <c r="I79" s="4">
        <v>1.25</v>
      </c>
      <c r="J79" s="2">
        <v>0</v>
      </c>
      <c r="K79" s="2" t="s">
        <v>49</v>
      </c>
      <c r="L79" s="2" t="s">
        <v>400</v>
      </c>
      <c r="M79" s="2" t="s">
        <v>401</v>
      </c>
      <c r="N79" s="2" t="s">
        <v>326</v>
      </c>
      <c r="O79" s="2" t="s">
        <v>327</v>
      </c>
      <c r="P79" s="2" t="s">
        <v>113</v>
      </c>
      <c r="Q79" s="2" t="s">
        <v>114</v>
      </c>
      <c r="R79" s="2">
        <v>1</v>
      </c>
      <c r="S79" s="2" t="s">
        <v>402</v>
      </c>
      <c r="T79" s="2" t="s">
        <v>220</v>
      </c>
      <c r="U79" s="2" t="s">
        <v>40</v>
      </c>
      <c r="V79" s="2" t="s">
        <v>41</v>
      </c>
      <c r="W79" s="2" t="s">
        <v>42</v>
      </c>
      <c r="X79" s="2" t="s">
        <v>41</v>
      </c>
      <c r="Y79" s="2" t="s">
        <v>41</v>
      </c>
      <c r="Z79" s="2" t="s">
        <v>118</v>
      </c>
      <c r="AA79" s="2" t="s">
        <v>403</v>
      </c>
    </row>
    <row r="80" spans="1:27" x14ac:dyDescent="0.35">
      <c r="A80" s="2" t="s">
        <v>27</v>
      </c>
      <c r="B80" s="2" t="s">
        <v>404</v>
      </c>
      <c r="C80" s="2" t="s">
        <v>405</v>
      </c>
      <c r="D80" s="2" t="s">
        <v>30</v>
      </c>
      <c r="E80" s="3">
        <v>45445.069965277777</v>
      </c>
      <c r="F80" s="3">
        <v>45445.099826388891</v>
      </c>
      <c r="G80" s="3">
        <v>45445.174826388888</v>
      </c>
      <c r="H80" s="3">
        <v>45445.509845821762</v>
      </c>
      <c r="I80" s="4">
        <v>8.0399999999999991</v>
      </c>
      <c r="J80" s="2">
        <v>0</v>
      </c>
      <c r="K80" s="2" t="s">
        <v>31</v>
      </c>
      <c r="L80" s="2" t="s">
        <v>256</v>
      </c>
      <c r="M80" s="2" t="s">
        <v>257</v>
      </c>
      <c r="N80" s="2" t="s">
        <v>184</v>
      </c>
      <c r="O80" s="2" t="s">
        <v>185</v>
      </c>
      <c r="P80" s="2" t="s">
        <v>36</v>
      </c>
      <c r="Q80" s="2" t="s">
        <v>37</v>
      </c>
      <c r="R80" s="2">
        <v>1</v>
      </c>
      <c r="S80" s="2" t="s">
        <v>406</v>
      </c>
      <c r="T80" s="2" t="s">
        <v>98</v>
      </c>
      <c r="U80" s="2" t="s">
        <v>70</v>
      </c>
      <c r="V80" s="2" t="s">
        <v>259</v>
      </c>
      <c r="W80" s="2" t="s">
        <v>99</v>
      </c>
      <c r="X80" s="2" t="s">
        <v>41</v>
      </c>
      <c r="Y80" s="2" t="s">
        <v>187</v>
      </c>
      <c r="Z80" s="2" t="s">
        <v>45</v>
      </c>
      <c r="AA80" s="2" t="s">
        <v>407</v>
      </c>
    </row>
    <row r="81" spans="1:27" x14ac:dyDescent="0.35">
      <c r="A81" s="2" t="s">
        <v>27</v>
      </c>
      <c r="B81" s="2" t="s">
        <v>408</v>
      </c>
      <c r="C81" s="2" t="s">
        <v>352</v>
      </c>
      <c r="D81" s="2" t="s">
        <v>235</v>
      </c>
      <c r="E81" s="3">
        <v>45445.401435185187</v>
      </c>
      <c r="F81" s="3">
        <v>45445.416018518517</v>
      </c>
      <c r="G81" s="3">
        <v>45445.453518518523</v>
      </c>
      <c r="H81" s="3">
        <v>45445.728787812499</v>
      </c>
      <c r="I81" s="4">
        <v>6.61</v>
      </c>
      <c r="J81" s="2">
        <v>0</v>
      </c>
      <c r="K81" s="2" t="s">
        <v>96</v>
      </c>
      <c r="L81" s="2" t="s">
        <v>75</v>
      </c>
      <c r="M81" s="2" t="s">
        <v>76</v>
      </c>
      <c r="N81" s="2" t="s">
        <v>77</v>
      </c>
      <c r="O81" s="2" t="s">
        <v>35</v>
      </c>
      <c r="P81" s="2" t="s">
        <v>78</v>
      </c>
      <c r="Q81" s="2" t="s">
        <v>79</v>
      </c>
      <c r="R81" s="2">
        <v>1</v>
      </c>
      <c r="S81" s="2" t="s">
        <v>409</v>
      </c>
      <c r="T81" s="2" t="s">
        <v>220</v>
      </c>
      <c r="U81" s="2" t="s">
        <v>70</v>
      </c>
      <c r="V81" s="2" t="s">
        <v>41</v>
      </c>
      <c r="W81" s="2" t="s">
        <v>107</v>
      </c>
      <c r="X81" s="2" t="s">
        <v>41</v>
      </c>
      <c r="Y81" s="2" t="s">
        <v>44</v>
      </c>
      <c r="Z81" s="2" t="s">
        <v>82</v>
      </c>
      <c r="AA81" s="2" t="s">
        <v>267</v>
      </c>
    </row>
    <row r="82" spans="1:27" x14ac:dyDescent="0.35">
      <c r="A82" s="2" t="s">
        <v>27</v>
      </c>
      <c r="B82" s="2" t="s">
        <v>410</v>
      </c>
      <c r="C82" s="2" t="s">
        <v>281</v>
      </c>
      <c r="D82" s="2" t="s">
        <v>30</v>
      </c>
      <c r="E82" s="3">
        <v>45447.01222222222</v>
      </c>
      <c r="F82" s="3">
        <v>45447.066388888888</v>
      </c>
      <c r="G82" s="3">
        <v>45447.15111111111</v>
      </c>
      <c r="H82" s="3">
        <v>45447.296074351849</v>
      </c>
      <c r="I82" s="4">
        <v>3.48</v>
      </c>
      <c r="J82" s="2">
        <v>0</v>
      </c>
      <c r="K82" s="2" t="s">
        <v>31</v>
      </c>
      <c r="L82" s="2" t="s">
        <v>174</v>
      </c>
      <c r="M82" s="2" t="s">
        <v>175</v>
      </c>
      <c r="N82" s="2" t="s">
        <v>66</v>
      </c>
      <c r="O82" s="2" t="s">
        <v>67</v>
      </c>
      <c r="P82" s="2" t="s">
        <v>54</v>
      </c>
      <c r="Q82" s="2" t="s">
        <v>55</v>
      </c>
      <c r="R82" s="2">
        <v>0</v>
      </c>
      <c r="S82" s="2" t="s">
        <v>411</v>
      </c>
      <c r="T82" s="2" t="s">
        <v>220</v>
      </c>
      <c r="U82" s="2" t="s">
        <v>40</v>
      </c>
      <c r="V82" s="2" t="s">
        <v>41</v>
      </c>
      <c r="W82" s="2" t="s">
        <v>99</v>
      </c>
      <c r="X82" s="2" t="s">
        <v>41</v>
      </c>
      <c r="Y82" s="2" t="s">
        <v>71</v>
      </c>
      <c r="Z82" s="2" t="s">
        <v>59</v>
      </c>
      <c r="AA82" s="2" t="s">
        <v>412</v>
      </c>
    </row>
    <row r="83" spans="1:27" x14ac:dyDescent="0.35">
      <c r="A83" s="2" t="s">
        <v>27</v>
      </c>
      <c r="B83" s="2" t="s">
        <v>413</v>
      </c>
      <c r="C83" s="2" t="s">
        <v>414</v>
      </c>
      <c r="D83" s="2" t="s">
        <v>63</v>
      </c>
      <c r="E83" s="3">
        <v>45449.005509259259</v>
      </c>
      <c r="F83" s="3">
        <v>45449.027731481481</v>
      </c>
      <c r="G83" s="3">
        <v>45449.051342592589</v>
      </c>
      <c r="H83" s="3">
        <v>45449.150953750002</v>
      </c>
      <c r="I83" s="4">
        <v>2.39</v>
      </c>
      <c r="J83" s="2">
        <v>0</v>
      </c>
      <c r="K83" s="2" t="s">
        <v>96</v>
      </c>
      <c r="L83" s="2" t="s">
        <v>75</v>
      </c>
      <c r="M83" s="2" t="s">
        <v>76</v>
      </c>
      <c r="N83" s="2" t="s">
        <v>77</v>
      </c>
      <c r="O83" s="2" t="s">
        <v>35</v>
      </c>
      <c r="P83" s="2" t="s">
        <v>78</v>
      </c>
      <c r="Q83" s="2" t="s">
        <v>79</v>
      </c>
      <c r="R83" s="2">
        <v>1</v>
      </c>
      <c r="S83" s="2" t="s">
        <v>415</v>
      </c>
      <c r="T83" s="2" t="s">
        <v>57</v>
      </c>
      <c r="U83" s="2" t="s">
        <v>40</v>
      </c>
      <c r="V83" s="2" t="s">
        <v>41</v>
      </c>
      <c r="W83" s="2" t="s">
        <v>42</v>
      </c>
      <c r="X83" s="2" t="s">
        <v>41</v>
      </c>
      <c r="Y83" s="2" t="s">
        <v>44</v>
      </c>
      <c r="Z83" s="2" t="s">
        <v>82</v>
      </c>
      <c r="AA83" s="2" t="s">
        <v>363</v>
      </c>
    </row>
    <row r="84" spans="1:27" x14ac:dyDescent="0.35">
      <c r="A84" s="2" t="s">
        <v>27</v>
      </c>
      <c r="B84" s="2" t="s">
        <v>416</v>
      </c>
      <c r="C84" s="2" t="s">
        <v>223</v>
      </c>
      <c r="D84" s="2" t="s">
        <v>30</v>
      </c>
      <c r="E84" s="3">
        <v>45456.342951388891</v>
      </c>
      <c r="F84" s="3">
        <v>45456.383923611109</v>
      </c>
      <c r="G84" s="3">
        <v>45456.408229166656</v>
      </c>
      <c r="H84" s="3">
        <v>45456.713198530088</v>
      </c>
      <c r="I84" s="4">
        <v>7.32</v>
      </c>
      <c r="J84" s="2">
        <v>0</v>
      </c>
      <c r="K84" s="2" t="s">
        <v>49</v>
      </c>
      <c r="L84" s="2" t="s">
        <v>344</v>
      </c>
      <c r="M84" s="2" t="s">
        <v>345</v>
      </c>
      <c r="N84" s="2" t="s">
        <v>184</v>
      </c>
      <c r="O84" s="2" t="s">
        <v>185</v>
      </c>
      <c r="P84" s="2" t="s">
        <v>36</v>
      </c>
      <c r="Q84" s="2" t="s">
        <v>37</v>
      </c>
      <c r="R84" s="2">
        <v>1</v>
      </c>
      <c r="S84" s="2" t="s">
        <v>417</v>
      </c>
      <c r="T84" s="2" t="s">
        <v>98</v>
      </c>
      <c r="U84" s="2" t="s">
        <v>40</v>
      </c>
      <c r="V84" s="2" t="s">
        <v>41</v>
      </c>
      <c r="W84" s="2" t="s">
        <v>81</v>
      </c>
      <c r="X84" s="2" t="s">
        <v>41</v>
      </c>
      <c r="Y84" s="2" t="s">
        <v>187</v>
      </c>
      <c r="Z84" s="2" t="s">
        <v>45</v>
      </c>
      <c r="AA84" s="2" t="s">
        <v>418</v>
      </c>
    </row>
    <row r="85" spans="1:27" x14ac:dyDescent="0.35">
      <c r="A85" s="2" t="s">
        <v>27</v>
      </c>
      <c r="B85" s="2" t="s">
        <v>419</v>
      </c>
      <c r="C85" s="2" t="s">
        <v>296</v>
      </c>
      <c r="D85" s="2" t="s">
        <v>30</v>
      </c>
      <c r="E85" s="3">
        <v>45469.3752662037</v>
      </c>
      <c r="F85" s="3">
        <v>45469.387766203698</v>
      </c>
      <c r="G85" s="3">
        <v>45469.467627314807</v>
      </c>
      <c r="H85" s="3">
        <v>45469.650630277778</v>
      </c>
      <c r="I85" s="4">
        <v>4.3899999999999997</v>
      </c>
      <c r="J85" s="2">
        <v>0</v>
      </c>
      <c r="K85" s="2" t="s">
        <v>49</v>
      </c>
      <c r="L85" s="2" t="s">
        <v>420</v>
      </c>
      <c r="M85" s="2" t="s">
        <v>421</v>
      </c>
      <c r="N85" s="2" t="s">
        <v>52</v>
      </c>
      <c r="O85" s="2" t="s">
        <v>53</v>
      </c>
      <c r="P85" s="2" t="s">
        <v>161</v>
      </c>
      <c r="Q85" s="2" t="s">
        <v>162</v>
      </c>
      <c r="R85" s="2">
        <v>1</v>
      </c>
      <c r="S85" s="2" t="s">
        <v>422</v>
      </c>
      <c r="T85" s="2" t="s">
        <v>57</v>
      </c>
      <c r="U85" s="2" t="s">
        <v>40</v>
      </c>
      <c r="V85" s="2" t="s">
        <v>41</v>
      </c>
      <c r="W85" s="2" t="s">
        <v>42</v>
      </c>
      <c r="X85" s="2" t="s">
        <v>41</v>
      </c>
      <c r="Y85" s="2" t="s">
        <v>41</v>
      </c>
      <c r="Z85" s="2" t="s">
        <v>166</v>
      </c>
      <c r="AA85" s="2" t="s">
        <v>423</v>
      </c>
    </row>
    <row r="86" spans="1:27" x14ac:dyDescent="0.35">
      <c r="A86" s="2" t="s">
        <v>27</v>
      </c>
      <c r="B86" s="2" t="s">
        <v>424</v>
      </c>
      <c r="C86" s="2" t="s">
        <v>142</v>
      </c>
      <c r="D86" s="2" t="s">
        <v>30</v>
      </c>
      <c r="E86" s="3">
        <v>45470.995104166657</v>
      </c>
      <c r="F86" s="3">
        <v>45470.99927083333</v>
      </c>
      <c r="G86" s="3">
        <v>45471.055520833332</v>
      </c>
      <c r="H86" s="3">
        <v>45471.356678425916</v>
      </c>
      <c r="I86" s="4">
        <v>7.23</v>
      </c>
      <c r="J86" s="2">
        <v>0</v>
      </c>
      <c r="K86" s="2" t="s">
        <v>96</v>
      </c>
      <c r="L86" s="2" t="s">
        <v>425</v>
      </c>
      <c r="M86" s="2" t="s">
        <v>426</v>
      </c>
      <c r="N86" s="2" t="s">
        <v>193</v>
      </c>
      <c r="O86" s="2" t="s">
        <v>67</v>
      </c>
      <c r="P86" s="2" t="s">
        <v>194</v>
      </c>
      <c r="Q86" s="2" t="s">
        <v>79</v>
      </c>
      <c r="R86" s="2">
        <v>1</v>
      </c>
      <c r="S86" s="2" t="s">
        <v>427</v>
      </c>
      <c r="T86" s="2" t="s">
        <v>57</v>
      </c>
      <c r="U86" s="2" t="s">
        <v>40</v>
      </c>
      <c r="V86" s="2" t="s">
        <v>41</v>
      </c>
      <c r="W86" s="2" t="s">
        <v>58</v>
      </c>
      <c r="X86" s="2" t="s">
        <v>41</v>
      </c>
      <c r="Y86" s="2" t="s">
        <v>71</v>
      </c>
      <c r="Z86" s="2" t="s">
        <v>82</v>
      </c>
      <c r="AA86" s="2" t="s">
        <v>428</v>
      </c>
    </row>
    <row r="87" spans="1:27" x14ac:dyDescent="0.35">
      <c r="A87" s="2" t="s">
        <v>27</v>
      </c>
      <c r="B87" s="2" t="s">
        <v>429</v>
      </c>
      <c r="C87" s="2" t="s">
        <v>207</v>
      </c>
      <c r="D87" s="2" t="s">
        <v>30</v>
      </c>
      <c r="E87" s="3">
        <v>45475.898217592592</v>
      </c>
      <c r="F87" s="3">
        <v>45475.917662037027</v>
      </c>
      <c r="G87" s="3">
        <v>45475.959328703713</v>
      </c>
      <c r="H87" s="3">
        <v>45476.269548993063</v>
      </c>
      <c r="I87" s="4">
        <v>7.45</v>
      </c>
      <c r="J87" s="2">
        <v>0</v>
      </c>
      <c r="K87" s="2" t="s">
        <v>96</v>
      </c>
      <c r="L87" s="2" t="s">
        <v>50</v>
      </c>
      <c r="M87" s="2" t="s">
        <v>51</v>
      </c>
      <c r="N87" s="2" t="s">
        <v>34</v>
      </c>
      <c r="O87" s="2" t="s">
        <v>35</v>
      </c>
      <c r="P87" s="2" t="s">
        <v>78</v>
      </c>
      <c r="Q87" s="2" t="s">
        <v>79</v>
      </c>
      <c r="R87" s="2">
        <v>0</v>
      </c>
      <c r="S87" s="2" t="s">
        <v>430</v>
      </c>
      <c r="T87" s="2" t="s">
        <v>57</v>
      </c>
      <c r="U87" s="2" t="s">
        <v>40</v>
      </c>
      <c r="V87" s="2" t="s">
        <v>41</v>
      </c>
      <c r="W87" s="2" t="s">
        <v>99</v>
      </c>
      <c r="X87" s="2" t="s">
        <v>41</v>
      </c>
      <c r="Y87" s="2" t="s">
        <v>44</v>
      </c>
      <c r="Z87" s="2" t="s">
        <v>82</v>
      </c>
      <c r="AA87" s="2" t="s">
        <v>286</v>
      </c>
    </row>
    <row r="88" spans="1:27" x14ac:dyDescent="0.35">
      <c r="A88" s="2" t="s">
        <v>27</v>
      </c>
      <c r="B88" s="2" t="s">
        <v>431</v>
      </c>
      <c r="C88" s="2" t="s">
        <v>334</v>
      </c>
      <c r="D88" s="2" t="s">
        <v>30</v>
      </c>
      <c r="E88" s="3">
        <v>45476.298541666663</v>
      </c>
      <c r="F88" s="3">
        <v>45476.31590277778</v>
      </c>
      <c r="G88" s="3">
        <v>45476.406875000001</v>
      </c>
      <c r="H88" s="3">
        <v>45476.499051273153</v>
      </c>
      <c r="I88" s="4">
        <v>2.21</v>
      </c>
      <c r="J88" s="2">
        <v>0</v>
      </c>
      <c r="K88" s="2" t="s">
        <v>31</v>
      </c>
      <c r="L88" s="2" t="s">
        <v>217</v>
      </c>
      <c r="M88" s="2" t="s">
        <v>218</v>
      </c>
      <c r="N88" s="2" t="s">
        <v>326</v>
      </c>
      <c r="O88" s="2" t="s">
        <v>327</v>
      </c>
      <c r="P88" s="2" t="s">
        <v>78</v>
      </c>
      <c r="Q88" s="2" t="s">
        <v>79</v>
      </c>
      <c r="R88" s="2">
        <v>0</v>
      </c>
      <c r="S88" s="2" t="s">
        <v>432</v>
      </c>
      <c r="T88" s="2" t="s">
        <v>90</v>
      </c>
      <c r="U88" s="2" t="s">
        <v>40</v>
      </c>
      <c r="V88" s="2" t="s">
        <v>41</v>
      </c>
      <c r="W88" s="2" t="s">
        <v>107</v>
      </c>
      <c r="X88" s="2" t="s">
        <v>92</v>
      </c>
      <c r="Y88" s="2" t="s">
        <v>41</v>
      </c>
      <c r="Z88" s="2" t="s">
        <v>82</v>
      </c>
      <c r="AA88" s="2" t="s">
        <v>433</v>
      </c>
    </row>
    <row r="89" spans="1:27" x14ac:dyDescent="0.35">
      <c r="A89" s="2" t="s">
        <v>27</v>
      </c>
      <c r="B89" s="2" t="s">
        <v>434</v>
      </c>
      <c r="C89" s="2" t="s">
        <v>435</v>
      </c>
      <c r="D89" s="2" t="s">
        <v>30</v>
      </c>
      <c r="E89" s="3">
        <v>45476.49962962963</v>
      </c>
      <c r="F89" s="3">
        <v>45476.508657407408</v>
      </c>
      <c r="G89" s="3">
        <v>45476.608657407407</v>
      </c>
      <c r="H89" s="3">
        <v>45477.045110150473</v>
      </c>
      <c r="I89" s="4">
        <v>10.47</v>
      </c>
      <c r="J89" s="2">
        <v>0</v>
      </c>
      <c r="K89" s="2" t="s">
        <v>49</v>
      </c>
      <c r="L89" s="2" t="s">
        <v>32</v>
      </c>
      <c r="M89" s="2" t="s">
        <v>33</v>
      </c>
      <c r="N89" s="2" t="s">
        <v>184</v>
      </c>
      <c r="O89" s="2" t="s">
        <v>185</v>
      </c>
      <c r="P89" s="2" t="s">
        <v>36</v>
      </c>
      <c r="Q89" s="2" t="s">
        <v>37</v>
      </c>
      <c r="R89" s="2">
        <v>1</v>
      </c>
      <c r="S89" s="2" t="s">
        <v>436</v>
      </c>
      <c r="T89" s="2" t="s">
        <v>164</v>
      </c>
      <c r="U89" s="2" t="s">
        <v>40</v>
      </c>
      <c r="V89" s="2" t="s">
        <v>41</v>
      </c>
      <c r="W89" s="2" t="s">
        <v>99</v>
      </c>
      <c r="X89" s="2" t="s">
        <v>43</v>
      </c>
      <c r="Y89" s="2" t="s">
        <v>187</v>
      </c>
      <c r="Z89" s="2" t="s">
        <v>45</v>
      </c>
      <c r="AA89" s="2" t="s">
        <v>437</v>
      </c>
    </row>
    <row r="90" spans="1:27" x14ac:dyDescent="0.35">
      <c r="A90" s="2" t="s">
        <v>27</v>
      </c>
      <c r="B90" s="2" t="s">
        <v>438</v>
      </c>
      <c r="C90" s="2" t="s">
        <v>95</v>
      </c>
      <c r="D90" s="2" t="s">
        <v>30</v>
      </c>
      <c r="E90" s="3">
        <v>45479.633356481478</v>
      </c>
      <c r="F90" s="3">
        <v>45479.665995370371</v>
      </c>
      <c r="G90" s="3">
        <v>45479.715300925927</v>
      </c>
      <c r="H90" s="3">
        <v>45480.235623738423</v>
      </c>
      <c r="I90" s="4">
        <v>12.49</v>
      </c>
      <c r="J90" s="2">
        <v>0</v>
      </c>
      <c r="K90" s="2" t="s">
        <v>31</v>
      </c>
      <c r="L90" s="2" t="s">
        <v>50</v>
      </c>
      <c r="M90" s="2" t="s">
        <v>51</v>
      </c>
      <c r="N90" s="2" t="s">
        <v>159</v>
      </c>
      <c r="O90" s="2" t="s">
        <v>160</v>
      </c>
      <c r="P90" s="2" t="s">
        <v>54</v>
      </c>
      <c r="Q90" s="2" t="s">
        <v>55</v>
      </c>
      <c r="R90" s="2">
        <v>1</v>
      </c>
      <c r="S90" s="2" t="s">
        <v>439</v>
      </c>
      <c r="T90" s="2" t="s">
        <v>69</v>
      </c>
      <c r="U90" s="2" t="s">
        <v>40</v>
      </c>
      <c r="V90" s="2" t="s">
        <v>41</v>
      </c>
      <c r="W90" s="2" t="s">
        <v>81</v>
      </c>
      <c r="X90" s="2" t="s">
        <v>41</v>
      </c>
      <c r="Y90" s="2" t="s">
        <v>41</v>
      </c>
      <c r="Z90" s="2" t="s">
        <v>59</v>
      </c>
      <c r="AA90" s="2" t="s">
        <v>215</v>
      </c>
    </row>
    <row r="91" spans="1:27" x14ac:dyDescent="0.35">
      <c r="A91" s="2" t="s">
        <v>27</v>
      </c>
      <c r="B91" s="2" t="s">
        <v>440</v>
      </c>
      <c r="C91" s="2" t="s">
        <v>134</v>
      </c>
      <c r="D91" s="2" t="s">
        <v>30</v>
      </c>
      <c r="E91" s="3">
        <v>45492.165763888886</v>
      </c>
      <c r="F91" s="3"/>
      <c r="G91" s="3">
        <v>45492.185902777783</v>
      </c>
      <c r="H91" s="3">
        <v>45492.327996527783</v>
      </c>
      <c r="I91" s="4">
        <v>3.41</v>
      </c>
      <c r="J91" s="2">
        <v>0</v>
      </c>
      <c r="K91" s="2" t="s">
        <v>49</v>
      </c>
      <c r="L91" s="2" t="s">
        <v>135</v>
      </c>
      <c r="M91" s="2" t="s">
        <v>136</v>
      </c>
      <c r="N91" s="2" t="s">
        <v>66</v>
      </c>
      <c r="O91" s="2" t="s">
        <v>67</v>
      </c>
      <c r="P91" s="2" t="s">
        <v>130</v>
      </c>
      <c r="Q91" s="2" t="s">
        <v>55</v>
      </c>
      <c r="R91" s="2">
        <v>1</v>
      </c>
      <c r="S91" s="2" t="s">
        <v>441</v>
      </c>
      <c r="T91" s="2" t="s">
        <v>98</v>
      </c>
      <c r="U91" s="2" t="s">
        <v>40</v>
      </c>
      <c r="V91" s="2" t="s">
        <v>41</v>
      </c>
      <c r="W91" s="2" t="s">
        <v>42</v>
      </c>
      <c r="X91" s="2" t="s">
        <v>139</v>
      </c>
      <c r="Y91" s="2" t="s">
        <v>71</v>
      </c>
      <c r="Z91" s="2" t="s">
        <v>59</v>
      </c>
      <c r="AA91" s="2" t="s">
        <v>442</v>
      </c>
    </row>
    <row r="92" spans="1:27" x14ac:dyDescent="0.35">
      <c r="A92" s="2" t="s">
        <v>27</v>
      </c>
      <c r="B92" s="2" t="s">
        <v>443</v>
      </c>
      <c r="C92" s="2" t="s">
        <v>352</v>
      </c>
      <c r="D92" s="2" t="s">
        <v>30</v>
      </c>
      <c r="E92" s="3">
        <v>45493.685671296298</v>
      </c>
      <c r="F92" s="3">
        <v>45493.755115740743</v>
      </c>
      <c r="G92" s="3">
        <v>45493.773865740739</v>
      </c>
      <c r="H92" s="3">
        <v>45493.918125069453</v>
      </c>
      <c r="I92" s="4">
        <v>3.46</v>
      </c>
      <c r="J92" s="2">
        <v>0</v>
      </c>
      <c r="K92" s="2" t="s">
        <v>31</v>
      </c>
      <c r="L92" s="2" t="s">
        <v>86</v>
      </c>
      <c r="M92" s="2" t="s">
        <v>87</v>
      </c>
      <c r="N92" s="2" t="s">
        <v>193</v>
      </c>
      <c r="O92" s="2" t="s">
        <v>67</v>
      </c>
      <c r="P92" s="2" t="s">
        <v>88</v>
      </c>
      <c r="Q92" s="2" t="s">
        <v>55</v>
      </c>
      <c r="R92" s="2">
        <v>0</v>
      </c>
      <c r="S92" s="2" t="s">
        <v>444</v>
      </c>
      <c r="T92" s="2" t="s">
        <v>90</v>
      </c>
      <c r="U92" s="2" t="s">
        <v>40</v>
      </c>
      <c r="V92" s="2" t="s">
        <v>91</v>
      </c>
      <c r="W92" s="2" t="s">
        <v>81</v>
      </c>
      <c r="X92" s="2" t="s">
        <v>92</v>
      </c>
      <c r="Y92" s="2" t="s">
        <v>71</v>
      </c>
      <c r="Z92" s="2" t="s">
        <v>59</v>
      </c>
      <c r="AA92" s="2" t="s">
        <v>445</v>
      </c>
    </row>
    <row r="93" spans="1:27" x14ac:dyDescent="0.35">
      <c r="A93" s="2" t="s">
        <v>27</v>
      </c>
      <c r="B93" s="2" t="s">
        <v>446</v>
      </c>
      <c r="C93" s="2" t="s">
        <v>62</v>
      </c>
      <c r="D93" s="2" t="s">
        <v>30</v>
      </c>
      <c r="E93" s="3">
        <v>45494.37704861111</v>
      </c>
      <c r="F93" s="3">
        <v>45494.390243055554</v>
      </c>
      <c r="G93" s="3">
        <v>45494.410381944443</v>
      </c>
      <c r="H93" s="3">
        <v>45494.546451261573</v>
      </c>
      <c r="I93" s="4">
        <v>3.27</v>
      </c>
      <c r="J93" s="2">
        <v>0</v>
      </c>
      <c r="K93" s="2" t="s">
        <v>49</v>
      </c>
      <c r="L93" s="2" t="s">
        <v>217</v>
      </c>
      <c r="M93" s="2" t="s">
        <v>218</v>
      </c>
      <c r="N93" s="2" t="s">
        <v>34</v>
      </c>
      <c r="O93" s="2" t="s">
        <v>35</v>
      </c>
      <c r="P93" s="2" t="s">
        <v>194</v>
      </c>
      <c r="Q93" s="2" t="s">
        <v>79</v>
      </c>
      <c r="R93" s="2">
        <v>1</v>
      </c>
      <c r="S93" s="2" t="s">
        <v>447</v>
      </c>
      <c r="T93" s="2" t="s">
        <v>132</v>
      </c>
      <c r="U93" s="2" t="s">
        <v>40</v>
      </c>
      <c r="V93" s="2" t="s">
        <v>41</v>
      </c>
      <c r="W93" s="2" t="s">
        <v>107</v>
      </c>
      <c r="X93" s="2" t="s">
        <v>92</v>
      </c>
      <c r="Y93" s="2" t="s">
        <v>44</v>
      </c>
      <c r="Z93" s="2" t="s">
        <v>82</v>
      </c>
      <c r="AA93" s="2" t="s">
        <v>448</v>
      </c>
    </row>
    <row r="94" spans="1:27" x14ac:dyDescent="0.35">
      <c r="A94" s="2" t="s">
        <v>27</v>
      </c>
      <c r="B94" s="2" t="s">
        <v>449</v>
      </c>
      <c r="C94" s="2" t="s">
        <v>121</v>
      </c>
      <c r="D94" s="2" t="s">
        <v>63</v>
      </c>
      <c r="E94" s="3">
        <v>45498.879675925928</v>
      </c>
      <c r="F94" s="3">
        <v>45498.889398148152</v>
      </c>
      <c r="G94" s="3">
        <v>45498.926898148151</v>
      </c>
      <c r="H94" s="3">
        <v>45499.027380717591</v>
      </c>
      <c r="I94" s="4">
        <v>2.41</v>
      </c>
      <c r="J94" s="2">
        <v>0</v>
      </c>
      <c r="K94" s="2" t="s">
        <v>96</v>
      </c>
      <c r="L94" s="2" t="s">
        <v>103</v>
      </c>
      <c r="M94" s="2" t="s">
        <v>104</v>
      </c>
      <c r="N94" s="2" t="s">
        <v>66</v>
      </c>
      <c r="O94" s="2" t="s">
        <v>67</v>
      </c>
      <c r="P94" s="2" t="s">
        <v>54</v>
      </c>
      <c r="Q94" s="2" t="s">
        <v>55</v>
      </c>
      <c r="R94" s="2">
        <v>1</v>
      </c>
      <c r="S94" s="2" t="s">
        <v>450</v>
      </c>
      <c r="T94" s="2" t="s">
        <v>98</v>
      </c>
      <c r="U94" s="2" t="s">
        <v>40</v>
      </c>
      <c r="V94" s="2" t="s">
        <v>106</v>
      </c>
      <c r="W94" s="2" t="s">
        <v>107</v>
      </c>
      <c r="X94" s="2" t="s">
        <v>41</v>
      </c>
      <c r="Y94" s="2" t="s">
        <v>71</v>
      </c>
      <c r="Z94" s="2" t="s">
        <v>59</v>
      </c>
      <c r="AA94" s="2" t="s">
        <v>108</v>
      </c>
    </row>
    <row r="95" spans="1:27" x14ac:dyDescent="0.35">
      <c r="A95" s="2" t="s">
        <v>27</v>
      </c>
      <c r="B95" s="2" t="s">
        <v>451</v>
      </c>
      <c r="C95" s="2" t="s">
        <v>319</v>
      </c>
      <c r="D95" s="2" t="s">
        <v>30</v>
      </c>
      <c r="E95" s="3">
        <v>45503.959710648152</v>
      </c>
      <c r="F95" s="3">
        <v>45503.98609953704</v>
      </c>
      <c r="G95" s="3">
        <v>45504.063877314817</v>
      </c>
      <c r="H95" s="3">
        <v>45504.225333622693</v>
      </c>
      <c r="I95" s="4">
        <v>3.87</v>
      </c>
      <c r="J95" s="2">
        <v>0</v>
      </c>
      <c r="K95" s="2" t="s">
        <v>96</v>
      </c>
      <c r="L95" s="2" t="s">
        <v>182</v>
      </c>
      <c r="M95" s="2" t="s">
        <v>183</v>
      </c>
      <c r="N95" s="2" t="s">
        <v>128</v>
      </c>
      <c r="O95" s="2" t="s">
        <v>129</v>
      </c>
      <c r="P95" s="2" t="s">
        <v>78</v>
      </c>
      <c r="Q95" s="2" t="s">
        <v>79</v>
      </c>
      <c r="R95" s="2">
        <v>0</v>
      </c>
      <c r="S95" s="2" t="s">
        <v>452</v>
      </c>
      <c r="T95" s="2" t="s">
        <v>132</v>
      </c>
      <c r="U95" s="2" t="s">
        <v>40</v>
      </c>
      <c r="V95" s="2" t="s">
        <v>106</v>
      </c>
      <c r="W95" s="2" t="s">
        <v>58</v>
      </c>
      <c r="X95" s="2" t="s">
        <v>41</v>
      </c>
      <c r="Y95" s="2" t="s">
        <v>41</v>
      </c>
      <c r="Z95" s="2" t="s">
        <v>82</v>
      </c>
      <c r="AA95" s="2" t="s">
        <v>453</v>
      </c>
    </row>
    <row r="96" spans="1:27" x14ac:dyDescent="0.35">
      <c r="A96" s="2" t="s">
        <v>27</v>
      </c>
      <c r="B96" s="2" t="s">
        <v>454</v>
      </c>
      <c r="C96" s="2" t="s">
        <v>211</v>
      </c>
      <c r="D96" s="2" t="s">
        <v>235</v>
      </c>
      <c r="E96" s="3">
        <v>45518.578726851847</v>
      </c>
      <c r="F96" s="3">
        <v>45518.583587962959</v>
      </c>
      <c r="G96" s="3">
        <v>45518.622476851851</v>
      </c>
      <c r="H96" s="3">
        <v>45518.652891562502</v>
      </c>
      <c r="I96" s="4">
        <v>0.73</v>
      </c>
      <c r="J96" s="2">
        <v>0</v>
      </c>
      <c r="K96" s="2" t="s">
        <v>49</v>
      </c>
      <c r="L96" s="2" t="s">
        <v>157</v>
      </c>
      <c r="M96" s="2" t="s">
        <v>158</v>
      </c>
      <c r="N96" s="2" t="s">
        <v>159</v>
      </c>
      <c r="O96" s="2" t="s">
        <v>160</v>
      </c>
      <c r="P96" s="2" t="s">
        <v>161</v>
      </c>
      <c r="Q96" s="2" t="s">
        <v>162</v>
      </c>
      <c r="R96" s="2">
        <v>1</v>
      </c>
      <c r="S96" s="2" t="s">
        <v>455</v>
      </c>
      <c r="T96" s="2" t="s">
        <v>57</v>
      </c>
      <c r="U96" s="2" t="s">
        <v>40</v>
      </c>
      <c r="V96" s="2" t="s">
        <v>41</v>
      </c>
      <c r="W96" s="2" t="s">
        <v>42</v>
      </c>
      <c r="X96" s="2" t="s">
        <v>165</v>
      </c>
      <c r="Y96" s="2" t="s">
        <v>41</v>
      </c>
      <c r="Z96" s="2" t="s">
        <v>166</v>
      </c>
      <c r="AA96" s="2" t="s">
        <v>456</v>
      </c>
    </row>
    <row r="97" spans="1:27" x14ac:dyDescent="0.35">
      <c r="A97" s="2" t="s">
        <v>27</v>
      </c>
      <c r="B97" s="2" t="s">
        <v>457</v>
      </c>
      <c r="C97" s="2" t="s">
        <v>156</v>
      </c>
      <c r="D97" s="2" t="s">
        <v>30</v>
      </c>
      <c r="E97" s="3">
        <v>45534.264039351852</v>
      </c>
      <c r="F97" s="3">
        <v>45534.268900462957</v>
      </c>
      <c r="G97" s="3">
        <v>45534.318206018521</v>
      </c>
      <c r="H97" s="3">
        <v>45534.450430914352</v>
      </c>
      <c r="I97" s="4">
        <v>3.17</v>
      </c>
      <c r="J97" s="2">
        <v>0</v>
      </c>
      <c r="K97" s="2" t="s">
        <v>49</v>
      </c>
      <c r="L97" s="2" t="s">
        <v>157</v>
      </c>
      <c r="M97" s="2" t="s">
        <v>158</v>
      </c>
      <c r="N97" s="2" t="s">
        <v>159</v>
      </c>
      <c r="O97" s="2" t="s">
        <v>160</v>
      </c>
      <c r="P97" s="2" t="s">
        <v>161</v>
      </c>
      <c r="Q97" s="2" t="s">
        <v>162</v>
      </c>
      <c r="R97" s="2">
        <v>0</v>
      </c>
      <c r="S97" s="2" t="s">
        <v>458</v>
      </c>
      <c r="T97" s="2" t="s">
        <v>39</v>
      </c>
      <c r="U97" s="2" t="s">
        <v>70</v>
      </c>
      <c r="V97" s="2" t="s">
        <v>41</v>
      </c>
      <c r="W97" s="2" t="s">
        <v>42</v>
      </c>
      <c r="X97" s="2" t="s">
        <v>165</v>
      </c>
      <c r="Y97" s="2" t="s">
        <v>41</v>
      </c>
      <c r="Z97" s="2" t="s">
        <v>166</v>
      </c>
      <c r="AA97" s="2" t="s">
        <v>456</v>
      </c>
    </row>
    <row r="98" spans="1:27" x14ac:dyDescent="0.35">
      <c r="A98" s="2" t="s">
        <v>27</v>
      </c>
      <c r="B98" s="2" t="s">
        <v>459</v>
      </c>
      <c r="C98" s="2" t="s">
        <v>125</v>
      </c>
      <c r="D98" s="2" t="s">
        <v>30</v>
      </c>
      <c r="E98" s="3">
        <v>45536.701458333337</v>
      </c>
      <c r="F98" s="3">
        <v>45536.713958333326</v>
      </c>
      <c r="G98" s="3">
        <v>45536.747291666667</v>
      </c>
      <c r="H98" s="3">
        <v>45536.82087354167</v>
      </c>
      <c r="I98" s="4">
        <v>1.77</v>
      </c>
      <c r="J98" s="2">
        <v>0</v>
      </c>
      <c r="K98" s="2" t="s">
        <v>49</v>
      </c>
      <c r="L98" s="2" t="s">
        <v>64</v>
      </c>
      <c r="M98" s="2" t="s">
        <v>65</v>
      </c>
      <c r="N98" s="2" t="s">
        <v>326</v>
      </c>
      <c r="O98" s="2" t="s">
        <v>327</v>
      </c>
      <c r="P98" s="2" t="s">
        <v>143</v>
      </c>
      <c r="Q98" s="2" t="s">
        <v>55</v>
      </c>
      <c r="R98" s="2">
        <v>1</v>
      </c>
      <c r="S98" s="2" t="s">
        <v>460</v>
      </c>
      <c r="T98" s="2" t="s">
        <v>90</v>
      </c>
      <c r="U98" s="2" t="s">
        <v>40</v>
      </c>
      <c r="V98" s="2" t="s">
        <v>41</v>
      </c>
      <c r="W98" s="2" t="s">
        <v>42</v>
      </c>
      <c r="X98" s="2" t="s">
        <v>41</v>
      </c>
      <c r="Y98" s="2" t="s">
        <v>41</v>
      </c>
      <c r="Z98" s="2" t="s">
        <v>59</v>
      </c>
      <c r="AA98" s="2" t="s">
        <v>350</v>
      </c>
    </row>
    <row r="99" spans="1:27" x14ac:dyDescent="0.35">
      <c r="A99" s="2" t="s">
        <v>27</v>
      </c>
      <c r="B99" s="2" t="s">
        <v>461</v>
      </c>
      <c r="C99" s="2" t="s">
        <v>319</v>
      </c>
      <c r="D99" s="2" t="s">
        <v>30</v>
      </c>
      <c r="E99" s="3">
        <v>45540.897152777783</v>
      </c>
      <c r="F99" s="3">
        <v>45540.930486111109</v>
      </c>
      <c r="G99" s="3">
        <v>45540.951319444437</v>
      </c>
      <c r="H99" s="3">
        <v>45541.075680486108</v>
      </c>
      <c r="I99" s="4">
        <v>2.98</v>
      </c>
      <c r="J99" s="2">
        <v>0</v>
      </c>
      <c r="K99" s="2" t="s">
        <v>31</v>
      </c>
      <c r="L99" s="2" t="s">
        <v>344</v>
      </c>
      <c r="M99" s="2" t="s">
        <v>345</v>
      </c>
      <c r="N99" s="2" t="s">
        <v>34</v>
      </c>
      <c r="O99" s="2" t="s">
        <v>35</v>
      </c>
      <c r="P99" s="2" t="s">
        <v>36</v>
      </c>
      <c r="Q99" s="2" t="s">
        <v>37</v>
      </c>
      <c r="R99" s="2">
        <v>1</v>
      </c>
      <c r="S99" s="2" t="s">
        <v>462</v>
      </c>
      <c r="T99" s="2" t="s">
        <v>57</v>
      </c>
      <c r="U99" s="2" t="s">
        <v>70</v>
      </c>
      <c r="V99" s="2" t="s">
        <v>41</v>
      </c>
      <c r="W99" s="2" t="s">
        <v>42</v>
      </c>
      <c r="X99" s="2" t="s">
        <v>41</v>
      </c>
      <c r="Y99" s="2" t="s">
        <v>44</v>
      </c>
      <c r="Z99" s="2" t="s">
        <v>45</v>
      </c>
      <c r="AA99" s="2" t="s">
        <v>359</v>
      </c>
    </row>
    <row r="100" spans="1:27" x14ac:dyDescent="0.35">
      <c r="A100" s="2" t="s">
        <v>27</v>
      </c>
      <c r="B100" s="2" t="s">
        <v>463</v>
      </c>
      <c r="C100" s="2" t="s">
        <v>169</v>
      </c>
      <c r="D100" s="2" t="s">
        <v>30</v>
      </c>
      <c r="E100" s="3">
        <v>45546.915520833332</v>
      </c>
      <c r="F100" s="3">
        <v>45546.947465277779</v>
      </c>
      <c r="G100" s="3">
        <v>45547.016909722217</v>
      </c>
      <c r="H100" s="3">
        <v>45547.138789317127</v>
      </c>
      <c r="I100" s="4">
        <v>2.93</v>
      </c>
      <c r="J100" s="2">
        <v>0</v>
      </c>
      <c r="K100" s="2" t="s">
        <v>31</v>
      </c>
      <c r="L100" s="2" t="s">
        <v>276</v>
      </c>
      <c r="M100" s="2" t="s">
        <v>277</v>
      </c>
      <c r="N100" s="2" t="s">
        <v>66</v>
      </c>
      <c r="O100" s="2" t="s">
        <v>67</v>
      </c>
      <c r="P100" s="2" t="s">
        <v>88</v>
      </c>
      <c r="Q100" s="2" t="s">
        <v>55</v>
      </c>
      <c r="R100" s="2">
        <v>1</v>
      </c>
      <c r="S100" s="2" t="s">
        <v>464</v>
      </c>
      <c r="T100" s="2" t="s">
        <v>57</v>
      </c>
      <c r="U100" s="2" t="s">
        <v>40</v>
      </c>
      <c r="V100" s="2" t="s">
        <v>41</v>
      </c>
      <c r="W100" s="2" t="s">
        <v>81</v>
      </c>
      <c r="X100" s="2" t="s">
        <v>41</v>
      </c>
      <c r="Y100" s="2" t="s">
        <v>71</v>
      </c>
      <c r="Z100" s="2" t="s">
        <v>59</v>
      </c>
      <c r="AA100" s="2" t="s">
        <v>465</v>
      </c>
    </row>
    <row r="101" spans="1:27" x14ac:dyDescent="0.35">
      <c r="A101" s="2" t="s">
        <v>27</v>
      </c>
      <c r="B101" s="2" t="s">
        <v>466</v>
      </c>
      <c r="C101" s="2" t="s">
        <v>152</v>
      </c>
      <c r="D101" s="2" t="s">
        <v>30</v>
      </c>
      <c r="E101" s="3">
        <v>45550.619537037041</v>
      </c>
      <c r="F101" s="3">
        <v>45550.624398148153</v>
      </c>
      <c r="G101" s="3">
        <v>45550.634120370371</v>
      </c>
      <c r="H101" s="3">
        <v>45550.732933877312</v>
      </c>
      <c r="I101" s="4">
        <v>2.37</v>
      </c>
      <c r="J101" s="2">
        <v>0</v>
      </c>
      <c r="K101" s="2" t="s">
        <v>31</v>
      </c>
      <c r="L101" s="2" t="s">
        <v>103</v>
      </c>
      <c r="M101" s="2" t="s">
        <v>104</v>
      </c>
      <c r="N101" s="2" t="s">
        <v>66</v>
      </c>
      <c r="O101" s="2" t="s">
        <v>67</v>
      </c>
      <c r="P101" s="2" t="s">
        <v>54</v>
      </c>
      <c r="Q101" s="2" t="s">
        <v>55</v>
      </c>
      <c r="R101" s="2">
        <v>1</v>
      </c>
      <c r="S101" s="2" t="s">
        <v>467</v>
      </c>
      <c r="T101" s="2" t="s">
        <v>220</v>
      </c>
      <c r="U101" s="2" t="s">
        <v>70</v>
      </c>
      <c r="V101" s="2" t="s">
        <v>106</v>
      </c>
      <c r="W101" s="2" t="s">
        <v>107</v>
      </c>
      <c r="X101" s="2" t="s">
        <v>41</v>
      </c>
      <c r="Y101" s="2" t="s">
        <v>71</v>
      </c>
      <c r="Z101" s="2" t="s">
        <v>59</v>
      </c>
      <c r="AA101" s="2" t="s">
        <v>108</v>
      </c>
    </row>
    <row r="102" spans="1:27" x14ac:dyDescent="0.35">
      <c r="A102" s="2" t="s">
        <v>27</v>
      </c>
      <c r="B102" s="2" t="s">
        <v>468</v>
      </c>
      <c r="C102" s="2" t="s">
        <v>255</v>
      </c>
      <c r="D102" s="2" t="s">
        <v>30</v>
      </c>
      <c r="E102" s="3">
        <v>45562.337708333333</v>
      </c>
      <c r="F102" s="3">
        <v>45562.36409722222</v>
      </c>
      <c r="G102" s="3">
        <v>45562.453680555547</v>
      </c>
      <c r="H102" s="3">
        <v>45562.566705254627</v>
      </c>
      <c r="I102" s="4">
        <v>2.71</v>
      </c>
      <c r="J102" s="2">
        <v>0</v>
      </c>
      <c r="K102" s="2" t="s">
        <v>31</v>
      </c>
      <c r="L102" s="2" t="s">
        <v>256</v>
      </c>
      <c r="M102" s="2" t="s">
        <v>257</v>
      </c>
      <c r="N102" s="2" t="s">
        <v>34</v>
      </c>
      <c r="O102" s="2" t="s">
        <v>35</v>
      </c>
      <c r="P102" s="2" t="s">
        <v>113</v>
      </c>
      <c r="Q102" s="2" t="s">
        <v>114</v>
      </c>
      <c r="R102" s="2">
        <v>1</v>
      </c>
      <c r="S102" s="2" t="s">
        <v>469</v>
      </c>
      <c r="T102" s="2" t="s">
        <v>39</v>
      </c>
      <c r="U102" s="2" t="s">
        <v>40</v>
      </c>
      <c r="V102" s="2" t="s">
        <v>259</v>
      </c>
      <c r="W102" s="2" t="s">
        <v>81</v>
      </c>
      <c r="X102" s="2" t="s">
        <v>41</v>
      </c>
      <c r="Y102" s="2" t="s">
        <v>44</v>
      </c>
      <c r="Z102" s="2" t="s">
        <v>118</v>
      </c>
      <c r="AA102" s="2" t="s">
        <v>470</v>
      </c>
    </row>
    <row r="103" spans="1:27" x14ac:dyDescent="0.35">
      <c r="A103" s="2" t="s">
        <v>27</v>
      </c>
      <c r="B103" s="2" t="s">
        <v>471</v>
      </c>
      <c r="C103" s="2" t="s">
        <v>110</v>
      </c>
      <c r="D103" s="2" t="s">
        <v>30</v>
      </c>
      <c r="E103" s="3">
        <v>45566.090902777767</v>
      </c>
      <c r="F103" s="3">
        <v>45566.108958333331</v>
      </c>
      <c r="G103" s="3">
        <v>45566.138819444437</v>
      </c>
      <c r="H103" s="3">
        <v>45566.191487523152</v>
      </c>
      <c r="I103" s="4">
        <v>1.26</v>
      </c>
      <c r="J103" s="2">
        <v>1</v>
      </c>
      <c r="K103" s="2" t="s">
        <v>49</v>
      </c>
      <c r="L103" s="2" t="s">
        <v>157</v>
      </c>
      <c r="M103" s="2" t="s">
        <v>158</v>
      </c>
      <c r="N103" s="2" t="s">
        <v>159</v>
      </c>
      <c r="O103" s="2" t="s">
        <v>160</v>
      </c>
      <c r="P103" s="2" t="s">
        <v>161</v>
      </c>
      <c r="Q103" s="2" t="s">
        <v>162</v>
      </c>
      <c r="R103" s="2">
        <v>1</v>
      </c>
      <c r="S103" s="2" t="s">
        <v>472</v>
      </c>
      <c r="T103" s="2" t="s">
        <v>164</v>
      </c>
      <c r="U103" s="2" t="s">
        <v>40</v>
      </c>
      <c r="V103" s="2" t="s">
        <v>41</v>
      </c>
      <c r="W103" s="2" t="s">
        <v>42</v>
      </c>
      <c r="X103" s="2" t="s">
        <v>165</v>
      </c>
      <c r="Y103" s="2" t="s">
        <v>41</v>
      </c>
      <c r="Z103" s="2" t="s">
        <v>166</v>
      </c>
      <c r="AA103" s="2" t="s">
        <v>456</v>
      </c>
    </row>
    <row r="104" spans="1:27" x14ac:dyDescent="0.35">
      <c r="A104" s="2" t="s">
        <v>27</v>
      </c>
      <c r="B104" s="2" t="s">
        <v>473</v>
      </c>
      <c r="C104" s="2" t="s">
        <v>381</v>
      </c>
      <c r="D104" s="2" t="s">
        <v>30</v>
      </c>
      <c r="E104" s="3">
        <v>45570.134988425933</v>
      </c>
      <c r="F104" s="3">
        <v>45570.164849537039</v>
      </c>
      <c r="G104" s="3">
        <v>45570.198877314811</v>
      </c>
      <c r="H104" s="3">
        <v>45570.779143912026</v>
      </c>
      <c r="I104" s="4">
        <v>13.93</v>
      </c>
      <c r="J104" s="2">
        <v>1</v>
      </c>
      <c r="K104" s="2" t="s">
        <v>49</v>
      </c>
      <c r="L104" s="2" t="s">
        <v>282</v>
      </c>
      <c r="M104" s="2" t="s">
        <v>283</v>
      </c>
      <c r="N104" s="2" t="s">
        <v>77</v>
      </c>
      <c r="O104" s="2" t="s">
        <v>35</v>
      </c>
      <c r="P104" s="2" t="s">
        <v>78</v>
      </c>
      <c r="Q104" s="2" t="s">
        <v>79</v>
      </c>
      <c r="R104" s="2">
        <v>0</v>
      </c>
      <c r="S104" s="2" t="s">
        <v>474</v>
      </c>
      <c r="T104" s="2" t="s">
        <v>69</v>
      </c>
      <c r="U104" s="2" t="s">
        <v>40</v>
      </c>
      <c r="V104" s="2" t="s">
        <v>41</v>
      </c>
      <c r="W104" s="2" t="s">
        <v>58</v>
      </c>
      <c r="X104" s="2" t="s">
        <v>41</v>
      </c>
      <c r="Y104" s="2" t="s">
        <v>44</v>
      </c>
      <c r="Z104" s="2" t="s">
        <v>82</v>
      </c>
      <c r="AA104" s="2" t="s">
        <v>209</v>
      </c>
    </row>
    <row r="105" spans="1:27" x14ac:dyDescent="0.35">
      <c r="A105" s="2" t="s">
        <v>27</v>
      </c>
      <c r="B105" s="2" t="s">
        <v>475</v>
      </c>
      <c r="C105" s="2" t="s">
        <v>48</v>
      </c>
      <c r="D105" s="2" t="s">
        <v>30</v>
      </c>
      <c r="E105" s="3">
        <v>45570.575509259259</v>
      </c>
      <c r="F105" s="3">
        <v>45570.585231481477</v>
      </c>
      <c r="G105" s="3">
        <v>45570.64912037037</v>
      </c>
      <c r="H105" s="3">
        <v>45570.881731527777</v>
      </c>
      <c r="I105" s="4">
        <v>5.58</v>
      </c>
      <c r="J105" s="2">
        <v>0</v>
      </c>
      <c r="K105" s="2" t="s">
        <v>49</v>
      </c>
      <c r="L105" s="2" t="s">
        <v>75</v>
      </c>
      <c r="M105" s="2" t="s">
        <v>76</v>
      </c>
      <c r="N105" s="2" t="s">
        <v>77</v>
      </c>
      <c r="O105" s="2" t="s">
        <v>35</v>
      </c>
      <c r="P105" s="2" t="s">
        <v>78</v>
      </c>
      <c r="Q105" s="2" t="s">
        <v>79</v>
      </c>
      <c r="R105" s="2">
        <v>1</v>
      </c>
      <c r="S105" s="2" t="s">
        <v>476</v>
      </c>
      <c r="T105" s="2" t="s">
        <v>57</v>
      </c>
      <c r="U105" s="2" t="s">
        <v>40</v>
      </c>
      <c r="V105" s="2" t="s">
        <v>41</v>
      </c>
      <c r="W105" s="2" t="s">
        <v>107</v>
      </c>
      <c r="X105" s="2" t="s">
        <v>41</v>
      </c>
      <c r="Y105" s="2" t="s">
        <v>44</v>
      </c>
      <c r="Z105" s="2" t="s">
        <v>82</v>
      </c>
      <c r="AA105" s="2" t="s">
        <v>267</v>
      </c>
    </row>
    <row r="106" spans="1:27" x14ac:dyDescent="0.35">
      <c r="A106" s="2" t="s">
        <v>27</v>
      </c>
      <c r="B106" s="2" t="s">
        <v>477</v>
      </c>
      <c r="C106" s="2" t="s">
        <v>414</v>
      </c>
      <c r="D106" s="2" t="s">
        <v>30</v>
      </c>
      <c r="E106" s="3">
        <v>45580.197939814818</v>
      </c>
      <c r="F106" s="3">
        <v>45580.22016203704</v>
      </c>
      <c r="G106" s="3">
        <v>45580.253495370373</v>
      </c>
      <c r="H106" s="3">
        <v>45580.299664398153</v>
      </c>
      <c r="I106" s="4">
        <v>1.1100000000000001</v>
      </c>
      <c r="J106" s="2">
        <v>0</v>
      </c>
      <c r="K106" s="2" t="s">
        <v>31</v>
      </c>
      <c r="L106" s="2" t="s">
        <v>425</v>
      </c>
      <c r="M106" s="2" t="s">
        <v>426</v>
      </c>
      <c r="N106" s="2" t="s">
        <v>193</v>
      </c>
      <c r="O106" s="2" t="s">
        <v>67</v>
      </c>
      <c r="P106" s="2" t="s">
        <v>194</v>
      </c>
      <c r="Q106" s="2" t="s">
        <v>79</v>
      </c>
      <c r="R106" s="2">
        <v>0</v>
      </c>
      <c r="S106" s="2" t="s">
        <v>478</v>
      </c>
      <c r="T106" s="2" t="s">
        <v>98</v>
      </c>
      <c r="U106" s="2" t="s">
        <v>40</v>
      </c>
      <c r="V106" s="2" t="s">
        <v>41</v>
      </c>
      <c r="W106" s="2" t="s">
        <v>58</v>
      </c>
      <c r="X106" s="2" t="s">
        <v>41</v>
      </c>
      <c r="Y106" s="2" t="s">
        <v>71</v>
      </c>
      <c r="Z106" s="2" t="s">
        <v>82</v>
      </c>
      <c r="AA106" s="2" t="s">
        <v>428</v>
      </c>
    </row>
    <row r="107" spans="1:27" x14ac:dyDescent="0.35">
      <c r="A107" s="2" t="s">
        <v>27</v>
      </c>
      <c r="B107" s="2" t="s">
        <v>479</v>
      </c>
      <c r="C107" s="2" t="s">
        <v>169</v>
      </c>
      <c r="D107" s="2" t="s">
        <v>30</v>
      </c>
      <c r="E107" s="3">
        <v>45587.581631944442</v>
      </c>
      <c r="F107" s="3">
        <v>45587.591354166667</v>
      </c>
      <c r="G107" s="3">
        <v>45587.619826388887</v>
      </c>
      <c r="H107" s="3">
        <v>45587.768576921299</v>
      </c>
      <c r="I107" s="4">
        <v>3.57</v>
      </c>
      <c r="J107" s="2">
        <v>0</v>
      </c>
      <c r="K107" s="2" t="s">
        <v>49</v>
      </c>
      <c r="L107" s="2" t="s">
        <v>75</v>
      </c>
      <c r="M107" s="2" t="s">
        <v>76</v>
      </c>
      <c r="N107" s="2" t="s">
        <v>77</v>
      </c>
      <c r="O107" s="2" t="s">
        <v>35</v>
      </c>
      <c r="P107" s="2" t="s">
        <v>78</v>
      </c>
      <c r="Q107" s="2" t="s">
        <v>79</v>
      </c>
      <c r="R107" s="2">
        <v>1</v>
      </c>
      <c r="S107" s="2" t="s">
        <v>480</v>
      </c>
      <c r="T107" s="2" t="s">
        <v>220</v>
      </c>
      <c r="U107" s="2" t="s">
        <v>40</v>
      </c>
      <c r="V107" s="2" t="s">
        <v>41</v>
      </c>
      <c r="W107" s="2" t="s">
        <v>58</v>
      </c>
      <c r="X107" s="2" t="s">
        <v>41</v>
      </c>
      <c r="Y107" s="2" t="s">
        <v>44</v>
      </c>
      <c r="Z107" s="2" t="s">
        <v>82</v>
      </c>
      <c r="AA107" s="2" t="s">
        <v>209</v>
      </c>
    </row>
    <row r="108" spans="1:27" x14ac:dyDescent="0.35">
      <c r="A108" s="2" t="s">
        <v>27</v>
      </c>
      <c r="B108" s="2" t="s">
        <v>481</v>
      </c>
      <c r="C108" s="2" t="s">
        <v>190</v>
      </c>
      <c r="D108" s="2" t="s">
        <v>30</v>
      </c>
      <c r="E108" s="3">
        <v>45589.22965277778</v>
      </c>
      <c r="F108" s="3">
        <v>45589.24145833333</v>
      </c>
      <c r="G108" s="3">
        <v>45589.274791666663</v>
      </c>
      <c r="H108" s="3">
        <v>45589.493667974537</v>
      </c>
      <c r="I108" s="4">
        <v>5.25</v>
      </c>
      <c r="J108" s="2">
        <v>0</v>
      </c>
      <c r="K108" s="2" t="s">
        <v>31</v>
      </c>
      <c r="L108" s="2" t="s">
        <v>217</v>
      </c>
      <c r="M108" s="2" t="s">
        <v>218</v>
      </c>
      <c r="N108" s="2" t="s">
        <v>52</v>
      </c>
      <c r="O108" s="2" t="s">
        <v>53</v>
      </c>
      <c r="P108" s="2" t="s">
        <v>113</v>
      </c>
      <c r="Q108" s="2" t="s">
        <v>114</v>
      </c>
      <c r="R108" s="2">
        <v>0</v>
      </c>
      <c r="S108" s="2" t="s">
        <v>482</v>
      </c>
      <c r="T108" s="2" t="s">
        <v>220</v>
      </c>
      <c r="U108" s="2" t="s">
        <v>40</v>
      </c>
      <c r="V108" s="2" t="s">
        <v>41</v>
      </c>
      <c r="W108" s="2" t="s">
        <v>58</v>
      </c>
      <c r="X108" s="2" t="s">
        <v>92</v>
      </c>
      <c r="Y108" s="2" t="s">
        <v>41</v>
      </c>
      <c r="Z108" s="2" t="s">
        <v>118</v>
      </c>
      <c r="AA108" s="2" t="s">
        <v>483</v>
      </c>
    </row>
    <row r="109" spans="1:27" x14ac:dyDescent="0.35">
      <c r="A109" s="2" t="s">
        <v>27</v>
      </c>
      <c r="B109" s="2" t="s">
        <v>484</v>
      </c>
      <c r="C109" s="2" t="s">
        <v>485</v>
      </c>
      <c r="D109" s="2" t="s">
        <v>63</v>
      </c>
      <c r="E109" s="3">
        <v>45595.483310185176</v>
      </c>
      <c r="F109" s="3"/>
      <c r="G109" s="3">
        <v>45595.543032407397</v>
      </c>
      <c r="H109" s="3">
        <v>45595.89781923611</v>
      </c>
      <c r="I109" s="4">
        <v>8.51</v>
      </c>
      <c r="J109" s="2">
        <v>0</v>
      </c>
      <c r="K109" s="2" t="s">
        <v>49</v>
      </c>
      <c r="L109" s="2" t="s">
        <v>32</v>
      </c>
      <c r="M109" s="2" t="s">
        <v>33</v>
      </c>
      <c r="N109" s="2" t="s">
        <v>184</v>
      </c>
      <c r="O109" s="2" t="s">
        <v>185</v>
      </c>
      <c r="P109" s="2" t="s">
        <v>36</v>
      </c>
      <c r="Q109" s="2" t="s">
        <v>37</v>
      </c>
      <c r="R109" s="2">
        <v>0</v>
      </c>
      <c r="S109" s="2" t="s">
        <v>486</v>
      </c>
      <c r="T109" s="2" t="s">
        <v>98</v>
      </c>
      <c r="U109" s="2" t="s">
        <v>40</v>
      </c>
      <c r="V109" s="2" t="s">
        <v>41</v>
      </c>
      <c r="W109" s="2" t="s">
        <v>81</v>
      </c>
      <c r="X109" s="2" t="s">
        <v>43</v>
      </c>
      <c r="Y109" s="2" t="s">
        <v>187</v>
      </c>
      <c r="Z109" s="2" t="s">
        <v>45</v>
      </c>
      <c r="AA109" s="2" t="s">
        <v>487</v>
      </c>
    </row>
    <row r="110" spans="1:27" x14ac:dyDescent="0.35">
      <c r="A110" s="2" t="s">
        <v>27</v>
      </c>
      <c r="B110" s="2" t="s">
        <v>488</v>
      </c>
      <c r="C110" s="2" t="s">
        <v>372</v>
      </c>
      <c r="D110" s="2" t="s">
        <v>30</v>
      </c>
      <c r="E110" s="3">
        <v>45597.764293981483</v>
      </c>
      <c r="F110" s="3">
        <v>45597.787210648137</v>
      </c>
      <c r="G110" s="3">
        <v>45597.841377314813</v>
      </c>
      <c r="H110" s="3">
        <v>45598.068708773149</v>
      </c>
      <c r="I110" s="4">
        <v>5.46</v>
      </c>
      <c r="J110" s="2">
        <v>0</v>
      </c>
      <c r="K110" s="2" t="s">
        <v>31</v>
      </c>
      <c r="L110" s="2" t="s">
        <v>344</v>
      </c>
      <c r="M110" s="2" t="s">
        <v>345</v>
      </c>
      <c r="N110" s="2" t="s">
        <v>184</v>
      </c>
      <c r="O110" s="2" t="s">
        <v>185</v>
      </c>
      <c r="P110" s="2" t="s">
        <v>36</v>
      </c>
      <c r="Q110" s="2" t="s">
        <v>37</v>
      </c>
      <c r="R110" s="2">
        <v>1</v>
      </c>
      <c r="S110" s="2" t="s">
        <v>489</v>
      </c>
      <c r="T110" s="2" t="s">
        <v>98</v>
      </c>
      <c r="U110" s="2" t="s">
        <v>40</v>
      </c>
      <c r="V110" s="2" t="s">
        <v>41</v>
      </c>
      <c r="W110" s="2" t="s">
        <v>81</v>
      </c>
      <c r="X110" s="2" t="s">
        <v>41</v>
      </c>
      <c r="Y110" s="2" t="s">
        <v>187</v>
      </c>
      <c r="Z110" s="2" t="s">
        <v>45</v>
      </c>
      <c r="AA110" s="2" t="s">
        <v>418</v>
      </c>
    </row>
    <row r="111" spans="1:27" x14ac:dyDescent="0.35">
      <c r="A111" s="2" t="s">
        <v>27</v>
      </c>
      <c r="B111" s="2" t="s">
        <v>490</v>
      </c>
      <c r="C111" s="2" t="s">
        <v>491</v>
      </c>
      <c r="D111" s="2" t="s">
        <v>235</v>
      </c>
      <c r="E111" s="3">
        <v>45610.012094907397</v>
      </c>
      <c r="F111" s="3">
        <v>45610.01903935185</v>
      </c>
      <c r="G111" s="3">
        <v>45610.046817129631</v>
      </c>
      <c r="H111" s="3">
        <v>45610.073904699071</v>
      </c>
      <c r="I111" s="4">
        <v>0.65</v>
      </c>
      <c r="J111" s="2">
        <v>0</v>
      </c>
      <c r="K111" s="2" t="s">
        <v>49</v>
      </c>
      <c r="L111" s="2" t="s">
        <v>157</v>
      </c>
      <c r="M111" s="2" t="s">
        <v>158</v>
      </c>
      <c r="N111" s="2" t="s">
        <v>159</v>
      </c>
      <c r="O111" s="2" t="s">
        <v>160</v>
      </c>
      <c r="P111" s="2" t="s">
        <v>161</v>
      </c>
      <c r="Q111" s="2" t="s">
        <v>162</v>
      </c>
      <c r="R111" s="2">
        <v>1</v>
      </c>
      <c r="S111" s="2" t="s">
        <v>492</v>
      </c>
      <c r="T111" s="2" t="s">
        <v>132</v>
      </c>
      <c r="U111" s="2" t="s">
        <v>40</v>
      </c>
      <c r="V111" s="2" t="s">
        <v>41</v>
      </c>
      <c r="W111" s="2" t="s">
        <v>81</v>
      </c>
      <c r="X111" s="2" t="s">
        <v>165</v>
      </c>
      <c r="Y111" s="2" t="s">
        <v>41</v>
      </c>
      <c r="Z111" s="2" t="s">
        <v>166</v>
      </c>
      <c r="AA111" s="2" t="s">
        <v>493</v>
      </c>
    </row>
    <row r="112" spans="1:27" x14ac:dyDescent="0.35">
      <c r="A112" s="2" t="s">
        <v>27</v>
      </c>
      <c r="B112" s="2" t="s">
        <v>494</v>
      </c>
      <c r="C112" s="2" t="s">
        <v>142</v>
      </c>
      <c r="D112" s="2" t="s">
        <v>30</v>
      </c>
      <c r="E112" s="3">
        <v>45610.89702546296</v>
      </c>
      <c r="F112" s="3">
        <v>45610.910219907397</v>
      </c>
      <c r="G112" s="3">
        <v>45610.958136574067</v>
      </c>
      <c r="H112" s="3">
        <v>45611.2619475463</v>
      </c>
      <c r="I112" s="4">
        <v>7.29</v>
      </c>
      <c r="J112" s="2">
        <v>0</v>
      </c>
      <c r="K112" s="2" t="s">
        <v>96</v>
      </c>
      <c r="L112" s="2" t="s">
        <v>86</v>
      </c>
      <c r="M112" s="2" t="s">
        <v>87</v>
      </c>
      <c r="N112" s="2" t="s">
        <v>66</v>
      </c>
      <c r="O112" s="2" t="s">
        <v>67</v>
      </c>
      <c r="P112" s="2" t="s">
        <v>88</v>
      </c>
      <c r="Q112" s="2" t="s">
        <v>55</v>
      </c>
      <c r="R112" s="2">
        <v>1</v>
      </c>
      <c r="S112" s="2" t="s">
        <v>495</v>
      </c>
      <c r="T112" s="2" t="s">
        <v>39</v>
      </c>
      <c r="U112" s="2" t="s">
        <v>40</v>
      </c>
      <c r="V112" s="2" t="s">
        <v>91</v>
      </c>
      <c r="W112" s="2" t="s">
        <v>81</v>
      </c>
      <c r="X112" s="2" t="s">
        <v>92</v>
      </c>
      <c r="Y112" s="2" t="s">
        <v>71</v>
      </c>
      <c r="Z112" s="2" t="s">
        <v>59</v>
      </c>
      <c r="AA112" s="2" t="s">
        <v>445</v>
      </c>
    </row>
    <row r="113" spans="1:27" x14ac:dyDescent="0.35">
      <c r="A113" s="2" t="s">
        <v>27</v>
      </c>
      <c r="B113" s="2" t="s">
        <v>496</v>
      </c>
      <c r="C113" s="2" t="s">
        <v>497</v>
      </c>
      <c r="D113" s="2" t="s">
        <v>30</v>
      </c>
      <c r="E113" s="3">
        <v>45611.764421296299</v>
      </c>
      <c r="F113" s="3">
        <v>45611.774837962963</v>
      </c>
      <c r="G113" s="3">
        <v>45611.801921296297</v>
      </c>
      <c r="H113" s="3">
        <v>45611.840639664348</v>
      </c>
      <c r="I113" s="4">
        <v>0.93</v>
      </c>
      <c r="J113" s="2">
        <v>0</v>
      </c>
      <c r="K113" s="2" t="s">
        <v>49</v>
      </c>
      <c r="L113" s="2" t="s">
        <v>243</v>
      </c>
      <c r="M113" s="2" t="s">
        <v>244</v>
      </c>
      <c r="N113" s="2" t="s">
        <v>159</v>
      </c>
      <c r="O113" s="2" t="s">
        <v>160</v>
      </c>
      <c r="P113" s="2" t="s">
        <v>54</v>
      </c>
      <c r="Q113" s="2" t="s">
        <v>55</v>
      </c>
      <c r="R113" s="2">
        <v>0</v>
      </c>
      <c r="S113" s="2" t="s">
        <v>498</v>
      </c>
      <c r="T113" s="2" t="s">
        <v>69</v>
      </c>
      <c r="U113" s="2" t="s">
        <v>70</v>
      </c>
      <c r="V113" s="2" t="s">
        <v>246</v>
      </c>
      <c r="W113" s="2" t="s">
        <v>107</v>
      </c>
      <c r="X113" s="2" t="s">
        <v>41</v>
      </c>
      <c r="Y113" s="2" t="s">
        <v>41</v>
      </c>
      <c r="Z113" s="2" t="s">
        <v>59</v>
      </c>
      <c r="AA113" s="2" t="s">
        <v>332</v>
      </c>
    </row>
    <row r="114" spans="1:27" x14ac:dyDescent="0.35">
      <c r="A114" s="2" t="s">
        <v>27</v>
      </c>
      <c r="B114" s="2" t="s">
        <v>499</v>
      </c>
      <c r="C114" s="2" t="s">
        <v>198</v>
      </c>
      <c r="D114" s="2" t="s">
        <v>30</v>
      </c>
      <c r="E114" s="3">
        <v>45618.86922453704</v>
      </c>
      <c r="F114" s="3">
        <v>45618.878946759258</v>
      </c>
      <c r="G114" s="3">
        <v>45618.906724537039</v>
      </c>
      <c r="H114" s="3">
        <v>45619.003705451389</v>
      </c>
      <c r="I114" s="4">
        <v>2.33</v>
      </c>
      <c r="J114" s="2">
        <v>0</v>
      </c>
      <c r="K114" s="2" t="s">
        <v>31</v>
      </c>
      <c r="L114" s="2" t="s">
        <v>217</v>
      </c>
      <c r="M114" s="2" t="s">
        <v>218</v>
      </c>
      <c r="N114" s="2" t="s">
        <v>66</v>
      </c>
      <c r="O114" s="2" t="s">
        <v>67</v>
      </c>
      <c r="P114" s="2" t="s">
        <v>88</v>
      </c>
      <c r="Q114" s="2" t="s">
        <v>55</v>
      </c>
      <c r="R114" s="2">
        <v>1</v>
      </c>
      <c r="S114" s="2" t="s">
        <v>500</v>
      </c>
      <c r="T114" s="2" t="s">
        <v>164</v>
      </c>
      <c r="U114" s="2" t="s">
        <v>70</v>
      </c>
      <c r="V114" s="2" t="s">
        <v>41</v>
      </c>
      <c r="W114" s="2" t="s">
        <v>42</v>
      </c>
      <c r="X114" s="2" t="s">
        <v>92</v>
      </c>
      <c r="Y114" s="2" t="s">
        <v>71</v>
      </c>
      <c r="Z114" s="2" t="s">
        <v>59</v>
      </c>
      <c r="AA114" s="2" t="s">
        <v>501</v>
      </c>
    </row>
    <row r="115" spans="1:27" x14ac:dyDescent="0.35">
      <c r="A115" s="2" t="s">
        <v>27</v>
      </c>
      <c r="B115" s="2" t="s">
        <v>502</v>
      </c>
      <c r="C115" s="2" t="s">
        <v>503</v>
      </c>
      <c r="D115" s="2" t="s">
        <v>30</v>
      </c>
      <c r="E115" s="3">
        <v>45628.598773148151</v>
      </c>
      <c r="F115" s="3">
        <v>45628.609884259262</v>
      </c>
      <c r="G115" s="3">
        <v>45628.668217592603</v>
      </c>
      <c r="H115" s="3">
        <v>45628.802604571763</v>
      </c>
      <c r="I115" s="4">
        <v>3.23</v>
      </c>
      <c r="J115" s="2">
        <v>0</v>
      </c>
      <c r="K115" s="2" t="s">
        <v>96</v>
      </c>
      <c r="L115" s="2" t="s">
        <v>504</v>
      </c>
      <c r="M115" s="2" t="s">
        <v>505</v>
      </c>
      <c r="N115" s="2" t="s">
        <v>326</v>
      </c>
      <c r="O115" s="2" t="s">
        <v>327</v>
      </c>
      <c r="P115" s="2" t="s">
        <v>113</v>
      </c>
      <c r="Q115" s="2" t="s">
        <v>114</v>
      </c>
      <c r="R115" s="2">
        <v>1</v>
      </c>
      <c r="S115" s="2" t="s">
        <v>506</v>
      </c>
      <c r="T115" s="2" t="s">
        <v>220</v>
      </c>
      <c r="U115" s="2" t="s">
        <v>70</v>
      </c>
      <c r="V115" s="2" t="s">
        <v>41</v>
      </c>
      <c r="W115" s="2" t="s">
        <v>99</v>
      </c>
      <c r="X115" s="2" t="s">
        <v>41</v>
      </c>
      <c r="Y115" s="2" t="s">
        <v>41</v>
      </c>
      <c r="Z115" s="2" t="s">
        <v>118</v>
      </c>
      <c r="AA115" s="2" t="s">
        <v>507</v>
      </c>
    </row>
    <row r="116" spans="1:27" x14ac:dyDescent="0.35">
      <c r="A116" s="2" t="s">
        <v>27</v>
      </c>
      <c r="B116" s="2" t="s">
        <v>508</v>
      </c>
      <c r="C116" s="2" t="s">
        <v>152</v>
      </c>
      <c r="D116" s="2" t="s">
        <v>30</v>
      </c>
      <c r="E116" s="3">
        <v>45631.453472222223</v>
      </c>
      <c r="F116" s="3">
        <v>45631.484722222223</v>
      </c>
      <c r="G116" s="3">
        <v>45631.495833333327</v>
      </c>
      <c r="H116" s="3">
        <v>45631.719917766197</v>
      </c>
      <c r="I116" s="4">
        <v>5.38</v>
      </c>
      <c r="J116" s="2">
        <v>0</v>
      </c>
      <c r="K116" s="2" t="s">
        <v>31</v>
      </c>
      <c r="L116" s="2" t="s">
        <v>103</v>
      </c>
      <c r="M116" s="2" t="s">
        <v>104</v>
      </c>
      <c r="N116" s="2" t="s">
        <v>66</v>
      </c>
      <c r="O116" s="2" t="s">
        <v>67</v>
      </c>
      <c r="P116" s="2" t="s">
        <v>54</v>
      </c>
      <c r="Q116" s="2" t="s">
        <v>55</v>
      </c>
      <c r="R116" s="2">
        <v>1</v>
      </c>
      <c r="S116" s="2" t="s">
        <v>509</v>
      </c>
      <c r="T116" s="2" t="s">
        <v>220</v>
      </c>
      <c r="U116" s="2" t="s">
        <v>70</v>
      </c>
      <c r="V116" s="2" t="s">
        <v>106</v>
      </c>
      <c r="W116" s="2" t="s">
        <v>99</v>
      </c>
      <c r="X116" s="2" t="s">
        <v>41</v>
      </c>
      <c r="Y116" s="2" t="s">
        <v>71</v>
      </c>
      <c r="Z116" s="2" t="s">
        <v>59</v>
      </c>
      <c r="AA116" s="2" t="s">
        <v>150</v>
      </c>
    </row>
    <row r="117" spans="1:27" x14ac:dyDescent="0.35">
      <c r="A117" s="2" t="s">
        <v>27</v>
      </c>
      <c r="B117" s="2" t="s">
        <v>510</v>
      </c>
      <c r="C117" s="2" t="s">
        <v>125</v>
      </c>
      <c r="D117" s="2" t="s">
        <v>30</v>
      </c>
      <c r="E117" s="3">
        <v>45633.590474537043</v>
      </c>
      <c r="F117" s="3">
        <v>45633.622418981482</v>
      </c>
      <c r="G117" s="3">
        <v>45633.651585648149</v>
      </c>
      <c r="H117" s="3">
        <v>45633.763851840267</v>
      </c>
      <c r="I117" s="4">
        <v>2.69</v>
      </c>
      <c r="J117" s="2">
        <v>0</v>
      </c>
      <c r="K117" s="2" t="s">
        <v>49</v>
      </c>
      <c r="L117" s="2" t="s">
        <v>217</v>
      </c>
      <c r="M117" s="2" t="s">
        <v>218</v>
      </c>
      <c r="N117" s="2" t="s">
        <v>66</v>
      </c>
      <c r="O117" s="2" t="s">
        <v>67</v>
      </c>
      <c r="P117" s="2" t="s">
        <v>113</v>
      </c>
      <c r="Q117" s="2" t="s">
        <v>114</v>
      </c>
      <c r="R117" s="2">
        <v>0</v>
      </c>
      <c r="S117" s="2" t="s">
        <v>511</v>
      </c>
      <c r="T117" s="2" t="s">
        <v>57</v>
      </c>
      <c r="U117" s="2" t="s">
        <v>40</v>
      </c>
      <c r="V117" s="2" t="s">
        <v>41</v>
      </c>
      <c r="W117" s="2" t="s">
        <v>58</v>
      </c>
      <c r="X117" s="2" t="s">
        <v>92</v>
      </c>
      <c r="Y117" s="2" t="s">
        <v>71</v>
      </c>
      <c r="Z117" s="2" t="s">
        <v>118</v>
      </c>
      <c r="AA117" s="2" t="s">
        <v>512</v>
      </c>
    </row>
    <row r="118" spans="1:27" x14ac:dyDescent="0.35">
      <c r="A118" s="2" t="s">
        <v>27</v>
      </c>
      <c r="B118" s="2" t="s">
        <v>513</v>
      </c>
      <c r="C118" s="2" t="s">
        <v>142</v>
      </c>
      <c r="D118" s="2" t="s">
        <v>235</v>
      </c>
      <c r="E118" s="3">
        <v>45646.24015046296</v>
      </c>
      <c r="F118" s="3">
        <v>45646.267928240741</v>
      </c>
      <c r="G118" s="3">
        <v>45646.313761574071</v>
      </c>
      <c r="H118" s="3">
        <v>45646.639339502311</v>
      </c>
      <c r="I118" s="4">
        <v>7.81</v>
      </c>
      <c r="J118" s="2">
        <v>0</v>
      </c>
      <c r="K118" s="2" t="s">
        <v>31</v>
      </c>
      <c r="L118" s="2" t="s">
        <v>50</v>
      </c>
      <c r="M118" s="2" t="s">
        <v>51</v>
      </c>
      <c r="N118" s="2" t="s">
        <v>193</v>
      </c>
      <c r="O118" s="2" t="s">
        <v>67</v>
      </c>
      <c r="P118" s="2" t="s">
        <v>161</v>
      </c>
      <c r="Q118" s="2" t="s">
        <v>162</v>
      </c>
      <c r="R118" s="2">
        <v>1</v>
      </c>
      <c r="S118" s="2" t="s">
        <v>514</v>
      </c>
      <c r="T118" s="2" t="s">
        <v>138</v>
      </c>
      <c r="U118" s="2" t="s">
        <v>70</v>
      </c>
      <c r="V118" s="2" t="s">
        <v>41</v>
      </c>
      <c r="W118" s="2" t="s">
        <v>99</v>
      </c>
      <c r="X118" s="2" t="s">
        <v>41</v>
      </c>
      <c r="Y118" s="2" t="s">
        <v>71</v>
      </c>
      <c r="Z118" s="2" t="s">
        <v>166</v>
      </c>
      <c r="AA118" s="2" t="s">
        <v>515</v>
      </c>
    </row>
    <row r="119" spans="1:27" x14ac:dyDescent="0.35">
      <c r="A119" s="2" t="s">
        <v>27</v>
      </c>
      <c r="B119" s="2" t="s">
        <v>516</v>
      </c>
      <c r="C119" s="2" t="s">
        <v>211</v>
      </c>
      <c r="D119" s="2" t="s">
        <v>30</v>
      </c>
      <c r="E119" s="3">
        <v>45651.905046296299</v>
      </c>
      <c r="F119" s="3">
        <v>45651.908518518518</v>
      </c>
      <c r="G119" s="3">
        <v>45651.923796296287</v>
      </c>
      <c r="H119" s="3">
        <v>45651.94069505787</v>
      </c>
      <c r="I119" s="4">
        <v>0.41</v>
      </c>
      <c r="J119" s="2">
        <v>0</v>
      </c>
      <c r="K119" s="2" t="s">
        <v>49</v>
      </c>
      <c r="L119" s="2" t="s">
        <v>212</v>
      </c>
      <c r="M119" s="2" t="s">
        <v>213</v>
      </c>
      <c r="N119" s="2" t="s">
        <v>52</v>
      </c>
      <c r="O119" s="2" t="s">
        <v>53</v>
      </c>
      <c r="P119" s="2" t="s">
        <v>194</v>
      </c>
      <c r="Q119" s="2" t="s">
        <v>79</v>
      </c>
      <c r="R119" s="2">
        <v>0</v>
      </c>
      <c r="S119" s="2" t="s">
        <v>517</v>
      </c>
      <c r="T119" s="2" t="s">
        <v>69</v>
      </c>
      <c r="U119" s="2" t="s">
        <v>40</v>
      </c>
      <c r="V119" s="2" t="s">
        <v>41</v>
      </c>
      <c r="W119" s="2" t="s">
        <v>58</v>
      </c>
      <c r="X119" s="2" t="s">
        <v>41</v>
      </c>
      <c r="Y119" s="2" t="s">
        <v>41</v>
      </c>
      <c r="Z119" s="2" t="s">
        <v>82</v>
      </c>
      <c r="AA119" s="2" t="s">
        <v>518</v>
      </c>
    </row>
    <row r="120" spans="1:27" x14ac:dyDescent="0.35">
      <c r="A120" s="2" t="s">
        <v>27</v>
      </c>
      <c r="B120" s="2" t="s">
        <v>519</v>
      </c>
      <c r="C120" s="2" t="s">
        <v>497</v>
      </c>
      <c r="D120" s="2" t="s">
        <v>30</v>
      </c>
      <c r="E120" s="3">
        <v>45652.425740740742</v>
      </c>
      <c r="F120" s="3">
        <v>45652.440324074072</v>
      </c>
      <c r="G120" s="3">
        <v>45652.502824074072</v>
      </c>
      <c r="H120" s="3">
        <v>45652.678571145843</v>
      </c>
      <c r="I120" s="4">
        <v>4.22</v>
      </c>
      <c r="J120" s="2">
        <v>0</v>
      </c>
      <c r="K120" s="2" t="s">
        <v>31</v>
      </c>
      <c r="L120" s="2" t="s">
        <v>400</v>
      </c>
      <c r="M120" s="2" t="s">
        <v>401</v>
      </c>
      <c r="N120" s="2" t="s">
        <v>34</v>
      </c>
      <c r="O120" s="2" t="s">
        <v>35</v>
      </c>
      <c r="P120" s="2" t="s">
        <v>130</v>
      </c>
      <c r="Q120" s="2" t="s">
        <v>55</v>
      </c>
      <c r="R120" s="2">
        <v>0</v>
      </c>
      <c r="S120" s="2" t="s">
        <v>520</v>
      </c>
      <c r="T120" s="2" t="s">
        <v>220</v>
      </c>
      <c r="U120" s="2" t="s">
        <v>70</v>
      </c>
      <c r="V120" s="2" t="s">
        <v>41</v>
      </c>
      <c r="W120" s="2" t="s">
        <v>99</v>
      </c>
      <c r="X120" s="2" t="s">
        <v>41</v>
      </c>
      <c r="Y120" s="2" t="s">
        <v>44</v>
      </c>
      <c r="Z120" s="2" t="s">
        <v>59</v>
      </c>
      <c r="AA120" s="2" t="s">
        <v>317</v>
      </c>
    </row>
    <row r="121" spans="1:27" x14ac:dyDescent="0.35">
      <c r="A121" s="2" t="s">
        <v>27</v>
      </c>
      <c r="B121" s="2" t="s">
        <v>521</v>
      </c>
      <c r="C121" s="2" t="s">
        <v>497</v>
      </c>
      <c r="D121" s="2" t="s">
        <v>235</v>
      </c>
      <c r="E121" s="3">
        <v>45662.221921296303</v>
      </c>
      <c r="F121" s="3">
        <v>45662.225393518522</v>
      </c>
      <c r="G121" s="3">
        <v>45662.26358796296</v>
      </c>
      <c r="H121" s="3">
        <v>45662.281949155091</v>
      </c>
      <c r="I121" s="4">
        <v>0.44</v>
      </c>
      <c r="J121" s="2">
        <v>0</v>
      </c>
      <c r="K121" s="2" t="s">
        <v>31</v>
      </c>
      <c r="L121" s="2" t="s">
        <v>157</v>
      </c>
      <c r="M121" s="2" t="s">
        <v>158</v>
      </c>
      <c r="N121" s="2" t="s">
        <v>159</v>
      </c>
      <c r="O121" s="2" t="s">
        <v>160</v>
      </c>
      <c r="P121" s="2" t="s">
        <v>161</v>
      </c>
      <c r="Q121" s="2" t="s">
        <v>162</v>
      </c>
      <c r="R121" s="2">
        <v>0</v>
      </c>
      <c r="S121" s="2" t="s">
        <v>522</v>
      </c>
      <c r="T121" s="2" t="s">
        <v>39</v>
      </c>
      <c r="U121" s="2" t="s">
        <v>40</v>
      </c>
      <c r="V121" s="2" t="s">
        <v>41</v>
      </c>
      <c r="W121" s="2" t="s">
        <v>58</v>
      </c>
      <c r="X121" s="2" t="s">
        <v>165</v>
      </c>
      <c r="Y121" s="2" t="s">
        <v>41</v>
      </c>
      <c r="Z121" s="2" t="s">
        <v>166</v>
      </c>
      <c r="AA121" s="2" t="s">
        <v>523</v>
      </c>
    </row>
    <row r="122" spans="1:27" x14ac:dyDescent="0.35">
      <c r="A122" s="2" t="s">
        <v>27</v>
      </c>
      <c r="B122" s="2" t="s">
        <v>524</v>
      </c>
      <c r="C122" s="2" t="s">
        <v>405</v>
      </c>
      <c r="D122" s="2" t="s">
        <v>30</v>
      </c>
      <c r="E122" s="3">
        <v>45663.739340277767</v>
      </c>
      <c r="F122" s="3">
        <v>45663.803229166668</v>
      </c>
      <c r="G122" s="3">
        <v>45663.859479166669</v>
      </c>
      <c r="H122" s="3">
        <v>45663.928877916667</v>
      </c>
      <c r="I122" s="4">
        <v>1.67</v>
      </c>
      <c r="J122" s="2">
        <v>0</v>
      </c>
      <c r="K122" s="2" t="s">
        <v>31</v>
      </c>
      <c r="L122" s="2" t="s">
        <v>525</v>
      </c>
      <c r="M122" s="2" t="s">
        <v>526</v>
      </c>
      <c r="N122" s="2" t="s">
        <v>66</v>
      </c>
      <c r="O122" s="2" t="s">
        <v>67</v>
      </c>
      <c r="P122" s="2" t="s">
        <v>54</v>
      </c>
      <c r="Q122" s="2" t="s">
        <v>55</v>
      </c>
      <c r="R122" s="2">
        <v>1</v>
      </c>
      <c r="S122" s="2" t="s">
        <v>527</v>
      </c>
      <c r="T122" s="2" t="s">
        <v>98</v>
      </c>
      <c r="U122" s="2" t="s">
        <v>40</v>
      </c>
      <c r="V122" s="2" t="s">
        <v>41</v>
      </c>
      <c r="W122" s="2" t="s">
        <v>42</v>
      </c>
      <c r="X122" s="2" t="s">
        <v>139</v>
      </c>
      <c r="Y122" s="2" t="s">
        <v>71</v>
      </c>
      <c r="Z122" s="2" t="s">
        <v>59</v>
      </c>
      <c r="AA122" s="2" t="s">
        <v>442</v>
      </c>
    </row>
    <row r="123" spans="1:27" x14ac:dyDescent="0.35">
      <c r="A123" s="2" t="s">
        <v>27</v>
      </c>
      <c r="B123" s="2" t="s">
        <v>528</v>
      </c>
      <c r="C123" s="2" t="s">
        <v>48</v>
      </c>
      <c r="D123" s="2" t="s">
        <v>30</v>
      </c>
      <c r="E123" s="3">
        <v>45679.743981481479</v>
      </c>
      <c r="F123" s="3">
        <v>45679.781481481477</v>
      </c>
      <c r="G123" s="3">
        <v>45679.855787037042</v>
      </c>
      <c r="H123" s="3">
        <v>45680.044651342592</v>
      </c>
      <c r="I123" s="4">
        <v>4.53</v>
      </c>
      <c r="J123" s="2">
        <v>0</v>
      </c>
      <c r="K123" s="2" t="s">
        <v>31</v>
      </c>
      <c r="L123" s="2" t="s">
        <v>147</v>
      </c>
      <c r="M123" s="2" t="s">
        <v>148</v>
      </c>
      <c r="N123" s="2" t="s">
        <v>66</v>
      </c>
      <c r="O123" s="2" t="s">
        <v>67</v>
      </c>
      <c r="P123" s="2" t="s">
        <v>54</v>
      </c>
      <c r="Q123" s="2" t="s">
        <v>55</v>
      </c>
      <c r="R123" s="2">
        <v>0</v>
      </c>
      <c r="S123" s="2" t="s">
        <v>529</v>
      </c>
      <c r="T123" s="2" t="s">
        <v>98</v>
      </c>
      <c r="U123" s="2" t="s">
        <v>70</v>
      </c>
      <c r="V123" s="2" t="s">
        <v>106</v>
      </c>
      <c r="W123" s="2" t="s">
        <v>58</v>
      </c>
      <c r="X123" s="2" t="s">
        <v>41</v>
      </c>
      <c r="Y123" s="2" t="s">
        <v>71</v>
      </c>
      <c r="Z123" s="2" t="s">
        <v>59</v>
      </c>
      <c r="AA123" s="2" t="s">
        <v>294</v>
      </c>
    </row>
    <row r="124" spans="1:27" x14ac:dyDescent="0.35">
      <c r="A124" s="2" t="s">
        <v>27</v>
      </c>
      <c r="B124" s="2" t="s">
        <v>530</v>
      </c>
      <c r="C124" s="2" t="s">
        <v>125</v>
      </c>
      <c r="D124" s="2" t="s">
        <v>30</v>
      </c>
      <c r="E124" s="3">
        <v>45687.89707175926</v>
      </c>
      <c r="F124" s="3">
        <v>45687.908182870371</v>
      </c>
      <c r="G124" s="3">
        <v>45687.933182870373</v>
      </c>
      <c r="H124" s="3">
        <v>45687.973669722232</v>
      </c>
      <c r="I124" s="4">
        <v>0.97</v>
      </c>
      <c r="J124" s="2">
        <v>0</v>
      </c>
      <c r="K124" s="2" t="s">
        <v>49</v>
      </c>
      <c r="L124" s="2" t="s">
        <v>64</v>
      </c>
      <c r="M124" s="2" t="s">
        <v>65</v>
      </c>
      <c r="N124" s="2" t="s">
        <v>77</v>
      </c>
      <c r="O124" s="2" t="s">
        <v>35</v>
      </c>
      <c r="P124" s="2" t="s">
        <v>78</v>
      </c>
      <c r="Q124" s="2" t="s">
        <v>79</v>
      </c>
      <c r="R124" s="2">
        <v>1</v>
      </c>
      <c r="S124" s="2" t="s">
        <v>531</v>
      </c>
      <c r="T124" s="2" t="s">
        <v>132</v>
      </c>
      <c r="U124" s="2" t="s">
        <v>40</v>
      </c>
      <c r="V124" s="2" t="s">
        <v>41</v>
      </c>
      <c r="W124" s="2" t="s">
        <v>107</v>
      </c>
      <c r="X124" s="2" t="s">
        <v>41</v>
      </c>
      <c r="Y124" s="2" t="s">
        <v>44</v>
      </c>
      <c r="Z124" s="2" t="s">
        <v>82</v>
      </c>
      <c r="AA124" s="2" t="s">
        <v>267</v>
      </c>
    </row>
    <row r="125" spans="1:27" x14ac:dyDescent="0.35">
      <c r="A125" s="2" t="s">
        <v>27</v>
      </c>
      <c r="B125" s="2" t="s">
        <v>532</v>
      </c>
      <c r="C125" s="2" t="s">
        <v>190</v>
      </c>
      <c r="D125" s="2" t="s">
        <v>30</v>
      </c>
      <c r="E125" s="3">
        <v>45699.298831018517</v>
      </c>
      <c r="F125" s="3">
        <v>45699.307164351849</v>
      </c>
      <c r="G125" s="3">
        <v>45699.389108796298</v>
      </c>
      <c r="H125" s="3">
        <v>45699.537748773153</v>
      </c>
      <c r="I125" s="4">
        <v>3.57</v>
      </c>
      <c r="J125" s="2">
        <v>0</v>
      </c>
      <c r="K125" s="2" t="s">
        <v>49</v>
      </c>
      <c r="L125" s="2" t="s">
        <v>191</v>
      </c>
      <c r="M125" s="2" t="s">
        <v>192</v>
      </c>
      <c r="N125" s="2" t="s">
        <v>326</v>
      </c>
      <c r="O125" s="2" t="s">
        <v>327</v>
      </c>
      <c r="P125" s="2" t="s">
        <v>113</v>
      </c>
      <c r="Q125" s="2" t="s">
        <v>114</v>
      </c>
      <c r="R125" s="2">
        <v>1</v>
      </c>
      <c r="S125" s="2" t="s">
        <v>533</v>
      </c>
      <c r="T125" s="2" t="s">
        <v>132</v>
      </c>
      <c r="U125" s="2" t="s">
        <v>40</v>
      </c>
      <c r="V125" s="2" t="s">
        <v>41</v>
      </c>
      <c r="W125" s="2" t="s">
        <v>58</v>
      </c>
      <c r="X125" s="2" t="s">
        <v>41</v>
      </c>
      <c r="Y125" s="2" t="s">
        <v>41</v>
      </c>
      <c r="Z125" s="2" t="s">
        <v>118</v>
      </c>
      <c r="AA125" s="2" t="s">
        <v>534</v>
      </c>
    </row>
    <row r="126" spans="1:27" x14ac:dyDescent="0.35">
      <c r="A126" s="2" t="s">
        <v>27</v>
      </c>
      <c r="B126" s="2" t="s">
        <v>535</v>
      </c>
      <c r="C126" s="2" t="s">
        <v>536</v>
      </c>
      <c r="D126" s="2" t="s">
        <v>30</v>
      </c>
      <c r="E126" s="3">
        <v>45701.266400462962</v>
      </c>
      <c r="F126" s="3">
        <v>45701.276122685187</v>
      </c>
      <c r="G126" s="3">
        <v>45701.300428240742</v>
      </c>
      <c r="H126" s="3">
        <v>45701.422863541673</v>
      </c>
      <c r="I126" s="4">
        <v>2.94</v>
      </c>
      <c r="J126" s="2">
        <v>0</v>
      </c>
      <c r="K126" s="2" t="s">
        <v>31</v>
      </c>
      <c r="L126" s="2" t="s">
        <v>191</v>
      </c>
      <c r="M126" s="2" t="s">
        <v>192</v>
      </c>
      <c r="N126" s="2" t="s">
        <v>326</v>
      </c>
      <c r="O126" s="2" t="s">
        <v>327</v>
      </c>
      <c r="P126" s="2" t="s">
        <v>143</v>
      </c>
      <c r="Q126" s="2" t="s">
        <v>55</v>
      </c>
      <c r="R126" s="2">
        <v>1</v>
      </c>
      <c r="S126" s="2" t="s">
        <v>537</v>
      </c>
      <c r="T126" s="2" t="s">
        <v>90</v>
      </c>
      <c r="U126" s="2" t="s">
        <v>40</v>
      </c>
      <c r="V126" s="2" t="s">
        <v>41</v>
      </c>
      <c r="W126" s="2" t="s">
        <v>42</v>
      </c>
      <c r="X126" s="2" t="s">
        <v>41</v>
      </c>
      <c r="Y126" s="2" t="s">
        <v>41</v>
      </c>
      <c r="Z126" s="2" t="s">
        <v>59</v>
      </c>
      <c r="AA126" s="2" t="s">
        <v>350</v>
      </c>
    </row>
    <row r="127" spans="1:27" x14ac:dyDescent="0.35">
      <c r="A127" s="2" t="s">
        <v>27</v>
      </c>
      <c r="B127" s="2" t="s">
        <v>538</v>
      </c>
      <c r="C127" s="2" t="s">
        <v>381</v>
      </c>
      <c r="D127" s="2" t="s">
        <v>30</v>
      </c>
      <c r="E127" s="3">
        <v>45704.498506944437</v>
      </c>
      <c r="F127" s="3">
        <v>45704.533229166656</v>
      </c>
      <c r="G127" s="3">
        <v>45704.563784722217</v>
      </c>
      <c r="H127" s="3">
        <v>45704.860213738422</v>
      </c>
      <c r="I127" s="4">
        <v>7.11</v>
      </c>
      <c r="J127" s="2">
        <v>0</v>
      </c>
      <c r="K127" s="2" t="s">
        <v>96</v>
      </c>
      <c r="L127" s="2" t="s">
        <v>282</v>
      </c>
      <c r="M127" s="2" t="s">
        <v>283</v>
      </c>
      <c r="N127" s="2" t="s">
        <v>77</v>
      </c>
      <c r="O127" s="2" t="s">
        <v>35</v>
      </c>
      <c r="P127" s="2" t="s">
        <v>78</v>
      </c>
      <c r="Q127" s="2" t="s">
        <v>79</v>
      </c>
      <c r="R127" s="2">
        <v>1</v>
      </c>
      <c r="S127" s="2" t="s">
        <v>539</v>
      </c>
      <c r="T127" s="2" t="s">
        <v>69</v>
      </c>
      <c r="U127" s="2" t="s">
        <v>40</v>
      </c>
      <c r="V127" s="2" t="s">
        <v>41</v>
      </c>
      <c r="W127" s="2" t="s">
        <v>81</v>
      </c>
      <c r="X127" s="2" t="s">
        <v>41</v>
      </c>
      <c r="Y127" s="2" t="s">
        <v>44</v>
      </c>
      <c r="Z127" s="2" t="s">
        <v>82</v>
      </c>
      <c r="AA127" s="2" t="s">
        <v>83</v>
      </c>
    </row>
    <row r="128" spans="1:27" x14ac:dyDescent="0.35">
      <c r="A128" s="2" t="s">
        <v>27</v>
      </c>
      <c r="B128" s="2" t="s">
        <v>540</v>
      </c>
      <c r="C128" s="2" t="s">
        <v>121</v>
      </c>
      <c r="D128" s="2" t="s">
        <v>30</v>
      </c>
      <c r="E128" s="3">
        <v>45729.39466435185</v>
      </c>
      <c r="F128" s="3">
        <v>45729.400914351849</v>
      </c>
      <c r="G128" s="3">
        <v>45729.427303240736</v>
      </c>
      <c r="H128" s="3">
        <v>45729.884354780093</v>
      </c>
      <c r="I128" s="4">
        <v>10.97</v>
      </c>
      <c r="J128" s="2">
        <v>0</v>
      </c>
      <c r="K128" s="2" t="s">
        <v>31</v>
      </c>
      <c r="L128" s="2" t="s">
        <v>525</v>
      </c>
      <c r="M128" s="2" t="s">
        <v>526</v>
      </c>
      <c r="N128" s="2" t="s">
        <v>326</v>
      </c>
      <c r="O128" s="2" t="s">
        <v>327</v>
      </c>
      <c r="P128" s="2" t="s">
        <v>78</v>
      </c>
      <c r="Q128" s="2" t="s">
        <v>79</v>
      </c>
      <c r="R128" s="2">
        <v>1</v>
      </c>
      <c r="S128" s="2" t="s">
        <v>541</v>
      </c>
      <c r="T128" s="2" t="s">
        <v>39</v>
      </c>
      <c r="U128" s="2" t="s">
        <v>40</v>
      </c>
      <c r="V128" s="2" t="s">
        <v>41</v>
      </c>
      <c r="W128" s="2" t="s">
        <v>81</v>
      </c>
      <c r="X128" s="2" t="s">
        <v>139</v>
      </c>
      <c r="Y128" s="2" t="s">
        <v>41</v>
      </c>
      <c r="Z128" s="2" t="s">
        <v>82</v>
      </c>
      <c r="AA128" s="2" t="s">
        <v>542</v>
      </c>
    </row>
    <row r="129" spans="1:27" x14ac:dyDescent="0.35">
      <c r="A129" s="2" t="s">
        <v>27</v>
      </c>
      <c r="B129" s="2" t="s">
        <v>543</v>
      </c>
      <c r="C129" s="2" t="s">
        <v>275</v>
      </c>
      <c r="D129" s="2" t="s">
        <v>63</v>
      </c>
      <c r="E129" s="3">
        <v>45729.493310185193</v>
      </c>
      <c r="F129" s="3">
        <v>45729.534282407411</v>
      </c>
      <c r="G129" s="3">
        <v>45729.574560185189</v>
      </c>
      <c r="H129" s="3">
        <v>45729.780650428242</v>
      </c>
      <c r="I129" s="4">
        <v>4.95</v>
      </c>
      <c r="J129" s="2">
        <v>0</v>
      </c>
      <c r="K129" s="2" t="s">
        <v>96</v>
      </c>
      <c r="L129" s="2" t="s">
        <v>276</v>
      </c>
      <c r="M129" s="2" t="s">
        <v>277</v>
      </c>
      <c r="N129" s="2" t="s">
        <v>66</v>
      </c>
      <c r="O129" s="2" t="s">
        <v>67</v>
      </c>
      <c r="P129" s="2" t="s">
        <v>36</v>
      </c>
      <c r="Q129" s="2" t="s">
        <v>37</v>
      </c>
      <c r="R129" s="2">
        <v>1</v>
      </c>
      <c r="S129" s="2" t="s">
        <v>544</v>
      </c>
      <c r="T129" s="2" t="s">
        <v>132</v>
      </c>
      <c r="U129" s="2" t="s">
        <v>40</v>
      </c>
      <c r="V129" s="2" t="s">
        <v>41</v>
      </c>
      <c r="W129" s="2" t="s">
        <v>107</v>
      </c>
      <c r="X129" s="2" t="s">
        <v>41</v>
      </c>
      <c r="Y129" s="2" t="s">
        <v>71</v>
      </c>
      <c r="Z129" s="2" t="s">
        <v>45</v>
      </c>
      <c r="AA129" s="2" t="s">
        <v>545</v>
      </c>
    </row>
    <row r="130" spans="1:27" x14ac:dyDescent="0.35">
      <c r="A130" s="2" t="s">
        <v>27</v>
      </c>
      <c r="B130" s="2" t="s">
        <v>546</v>
      </c>
      <c r="C130" s="2" t="s">
        <v>340</v>
      </c>
      <c r="D130" s="2" t="s">
        <v>235</v>
      </c>
      <c r="E130" s="3">
        <v>45762.385740740741</v>
      </c>
      <c r="F130" s="3"/>
      <c r="G130" s="3">
        <v>45762.557268518518</v>
      </c>
      <c r="H130" s="3">
        <v>45762.749567175917</v>
      </c>
      <c r="I130" s="4">
        <v>4.62</v>
      </c>
      <c r="J130" s="2">
        <v>0</v>
      </c>
      <c r="K130" s="2" t="s">
        <v>31</v>
      </c>
      <c r="L130" s="2" t="s">
        <v>75</v>
      </c>
      <c r="M130" s="2" t="s">
        <v>76</v>
      </c>
      <c r="N130" s="2" t="s">
        <v>77</v>
      </c>
      <c r="O130" s="2" t="s">
        <v>35</v>
      </c>
      <c r="P130" s="2" t="s">
        <v>78</v>
      </c>
      <c r="Q130" s="2" t="s">
        <v>79</v>
      </c>
      <c r="R130" s="2">
        <v>0</v>
      </c>
      <c r="S130" s="2" t="s">
        <v>547</v>
      </c>
      <c r="T130" s="2" t="s">
        <v>90</v>
      </c>
      <c r="U130" s="2" t="s">
        <v>40</v>
      </c>
      <c r="V130" s="2" t="s">
        <v>41</v>
      </c>
      <c r="W130" s="2" t="s">
        <v>107</v>
      </c>
      <c r="X130" s="2" t="s">
        <v>41</v>
      </c>
      <c r="Y130" s="2" t="s">
        <v>44</v>
      </c>
      <c r="Z130" s="2" t="s">
        <v>82</v>
      </c>
      <c r="AA130" s="2" t="s">
        <v>267</v>
      </c>
    </row>
    <row r="131" spans="1:27" x14ac:dyDescent="0.35">
      <c r="A131" s="2" t="s">
        <v>27</v>
      </c>
      <c r="B131" s="2" t="s">
        <v>548</v>
      </c>
      <c r="C131" s="2" t="s">
        <v>85</v>
      </c>
      <c r="D131" s="2" t="s">
        <v>30</v>
      </c>
      <c r="E131" s="3">
        <v>45769.468923611108</v>
      </c>
      <c r="F131" s="3">
        <v>45769.477951388893</v>
      </c>
      <c r="G131" s="3">
        <v>45769.514756944453</v>
      </c>
      <c r="H131" s="3">
        <v>45769.91909383102</v>
      </c>
      <c r="I131" s="4">
        <v>9.6999999999999993</v>
      </c>
      <c r="J131" s="2">
        <v>0</v>
      </c>
      <c r="K131" s="2" t="s">
        <v>96</v>
      </c>
      <c r="L131" s="2" t="s">
        <v>86</v>
      </c>
      <c r="M131" s="2" t="s">
        <v>87</v>
      </c>
      <c r="N131" s="2" t="s">
        <v>193</v>
      </c>
      <c r="O131" s="2" t="s">
        <v>67</v>
      </c>
      <c r="P131" s="2" t="s">
        <v>88</v>
      </c>
      <c r="Q131" s="2" t="s">
        <v>55</v>
      </c>
      <c r="R131" s="2">
        <v>1</v>
      </c>
      <c r="S131" s="2" t="s">
        <v>549</v>
      </c>
      <c r="T131" s="2" t="s">
        <v>138</v>
      </c>
      <c r="U131" s="2" t="s">
        <v>40</v>
      </c>
      <c r="V131" s="2" t="s">
        <v>91</v>
      </c>
      <c r="W131" s="2" t="s">
        <v>107</v>
      </c>
      <c r="X131" s="2" t="s">
        <v>92</v>
      </c>
      <c r="Y131" s="2" t="s">
        <v>71</v>
      </c>
      <c r="Z131" s="2" t="s">
        <v>59</v>
      </c>
      <c r="AA131" s="2" t="s">
        <v>342</v>
      </c>
    </row>
    <row r="132" spans="1:27" x14ac:dyDescent="0.35">
      <c r="A132" s="2" t="s">
        <v>27</v>
      </c>
      <c r="B132" s="2" t="s">
        <v>550</v>
      </c>
      <c r="C132" s="2" t="s">
        <v>110</v>
      </c>
      <c r="D132" s="2" t="s">
        <v>63</v>
      </c>
      <c r="E132" s="3">
        <v>45771.366759259261</v>
      </c>
      <c r="F132" s="3">
        <v>45771.382037037038</v>
      </c>
      <c r="G132" s="3">
        <v>45771.396620370368</v>
      </c>
      <c r="H132" s="3">
        <v>45771.512482233797</v>
      </c>
      <c r="I132" s="4">
        <v>2.78</v>
      </c>
      <c r="J132" s="2">
        <v>0</v>
      </c>
      <c r="K132" s="2" t="s">
        <v>49</v>
      </c>
      <c r="L132" s="2" t="s">
        <v>212</v>
      </c>
      <c r="M132" s="2" t="s">
        <v>213</v>
      </c>
      <c r="N132" s="2" t="s">
        <v>184</v>
      </c>
      <c r="O132" s="2" t="s">
        <v>185</v>
      </c>
      <c r="P132" s="2" t="s">
        <v>78</v>
      </c>
      <c r="Q132" s="2" t="s">
        <v>79</v>
      </c>
      <c r="R132" s="2">
        <v>1</v>
      </c>
      <c r="S132" s="2" t="s">
        <v>551</v>
      </c>
      <c r="T132" s="2" t="s">
        <v>138</v>
      </c>
      <c r="U132" s="2" t="s">
        <v>40</v>
      </c>
      <c r="V132" s="2" t="s">
        <v>41</v>
      </c>
      <c r="W132" s="2" t="s">
        <v>99</v>
      </c>
      <c r="X132" s="2" t="s">
        <v>41</v>
      </c>
      <c r="Y132" s="2" t="s">
        <v>187</v>
      </c>
      <c r="Z132" s="2" t="s">
        <v>82</v>
      </c>
      <c r="AA132" s="2" t="s">
        <v>392</v>
      </c>
    </row>
    <row r="133" spans="1:27" x14ac:dyDescent="0.35">
      <c r="A133" s="2" t="s">
        <v>27</v>
      </c>
      <c r="B133" s="2" t="s">
        <v>552</v>
      </c>
      <c r="C133" s="2" t="s">
        <v>169</v>
      </c>
      <c r="D133" s="2" t="s">
        <v>30</v>
      </c>
      <c r="E133" s="3">
        <v>45776.92454861111</v>
      </c>
      <c r="F133" s="3">
        <v>45776.928020833337</v>
      </c>
      <c r="G133" s="3">
        <v>45776.991215277783</v>
      </c>
      <c r="H133" s="3">
        <v>45777.129830902777</v>
      </c>
      <c r="I133" s="4">
        <v>3.33</v>
      </c>
      <c r="J133" s="2">
        <v>0</v>
      </c>
      <c r="K133" s="2" t="s">
        <v>96</v>
      </c>
      <c r="L133" s="2" t="s">
        <v>425</v>
      </c>
      <c r="M133" s="2" t="s">
        <v>426</v>
      </c>
      <c r="N133" s="2" t="s">
        <v>193</v>
      </c>
      <c r="O133" s="2" t="s">
        <v>67</v>
      </c>
      <c r="P133" s="2" t="s">
        <v>194</v>
      </c>
      <c r="Q133" s="2" t="s">
        <v>79</v>
      </c>
      <c r="R133" s="2">
        <v>1</v>
      </c>
      <c r="S133" s="2" t="s">
        <v>553</v>
      </c>
      <c r="T133" s="2" t="s">
        <v>285</v>
      </c>
      <c r="U133" s="2" t="s">
        <v>117</v>
      </c>
      <c r="V133" s="2" t="s">
        <v>41</v>
      </c>
      <c r="W133" s="2" t="s">
        <v>42</v>
      </c>
      <c r="X133" s="2" t="s">
        <v>41</v>
      </c>
      <c r="Y133" s="2" t="s">
        <v>71</v>
      </c>
      <c r="Z133" s="2" t="s">
        <v>82</v>
      </c>
      <c r="AA133" s="2" t="s">
        <v>305</v>
      </c>
    </row>
    <row r="134" spans="1:27" x14ac:dyDescent="0.35">
      <c r="A134" s="2" t="s">
        <v>27</v>
      </c>
      <c r="B134" s="2" t="s">
        <v>554</v>
      </c>
      <c r="C134" s="2" t="s">
        <v>275</v>
      </c>
      <c r="D134" s="2" t="s">
        <v>63</v>
      </c>
      <c r="E134" s="3">
        <v>45779.081250000003</v>
      </c>
      <c r="F134" s="3">
        <v>45779.097222222219</v>
      </c>
      <c r="G134" s="3">
        <v>45779.130555555559</v>
      </c>
      <c r="H134" s="3">
        <v>45779.202797303238</v>
      </c>
      <c r="I134" s="4">
        <v>1.73</v>
      </c>
      <c r="J134" s="2">
        <v>0</v>
      </c>
      <c r="K134" s="2" t="s">
        <v>49</v>
      </c>
      <c r="L134" s="2" t="s">
        <v>276</v>
      </c>
      <c r="M134" s="2" t="s">
        <v>277</v>
      </c>
      <c r="N134" s="2" t="s">
        <v>326</v>
      </c>
      <c r="O134" s="2" t="s">
        <v>327</v>
      </c>
      <c r="P134" s="2" t="s">
        <v>88</v>
      </c>
      <c r="Q134" s="2" t="s">
        <v>55</v>
      </c>
      <c r="R134" s="2">
        <v>1</v>
      </c>
      <c r="S134" s="2" t="s">
        <v>555</v>
      </c>
      <c r="T134" s="2" t="s">
        <v>132</v>
      </c>
      <c r="U134" s="2" t="s">
        <v>40</v>
      </c>
      <c r="V134" s="2" t="s">
        <v>41</v>
      </c>
      <c r="W134" s="2" t="s">
        <v>42</v>
      </c>
      <c r="X134" s="2" t="s">
        <v>41</v>
      </c>
      <c r="Y134" s="2" t="s">
        <v>41</v>
      </c>
      <c r="Z134" s="2" t="s">
        <v>59</v>
      </c>
      <c r="AA134" s="2" t="s">
        <v>350</v>
      </c>
    </row>
    <row r="135" spans="1:27" x14ac:dyDescent="0.35">
      <c r="A135" s="2" t="s">
        <v>27</v>
      </c>
      <c r="B135" s="2" t="s">
        <v>556</v>
      </c>
      <c r="C135" s="2" t="s">
        <v>48</v>
      </c>
      <c r="D135" s="2" t="s">
        <v>30</v>
      </c>
      <c r="E135" s="3">
        <v>45781.953101851846</v>
      </c>
      <c r="F135" s="3">
        <v>45781.994768518518</v>
      </c>
      <c r="G135" s="3">
        <v>45782.043379629627</v>
      </c>
      <c r="H135" s="3">
        <v>45782.297905914347</v>
      </c>
      <c r="I135" s="4">
        <v>6.11</v>
      </c>
      <c r="J135" s="2">
        <v>0</v>
      </c>
      <c r="K135" s="2" t="s">
        <v>49</v>
      </c>
      <c r="L135" s="2" t="s">
        <v>147</v>
      </c>
      <c r="M135" s="2" t="s">
        <v>148</v>
      </c>
      <c r="N135" s="2" t="s">
        <v>66</v>
      </c>
      <c r="O135" s="2" t="s">
        <v>67</v>
      </c>
      <c r="P135" s="2" t="s">
        <v>54</v>
      </c>
      <c r="Q135" s="2" t="s">
        <v>55</v>
      </c>
      <c r="R135" s="2">
        <v>0</v>
      </c>
      <c r="S135" s="2" t="s">
        <v>557</v>
      </c>
      <c r="T135" s="2" t="s">
        <v>39</v>
      </c>
      <c r="U135" s="2" t="s">
        <v>70</v>
      </c>
      <c r="V135" s="2" t="s">
        <v>106</v>
      </c>
      <c r="W135" s="2" t="s">
        <v>58</v>
      </c>
      <c r="X135" s="2" t="s">
        <v>41</v>
      </c>
      <c r="Y135" s="2" t="s">
        <v>71</v>
      </c>
      <c r="Z135" s="2" t="s">
        <v>59</v>
      </c>
      <c r="AA135" s="2" t="s">
        <v>294</v>
      </c>
    </row>
    <row r="136" spans="1:27" x14ac:dyDescent="0.35">
      <c r="A136" s="2" t="s">
        <v>27</v>
      </c>
      <c r="B136" s="2" t="s">
        <v>558</v>
      </c>
      <c r="C136" s="2" t="s">
        <v>323</v>
      </c>
      <c r="D136" s="2" t="s">
        <v>30</v>
      </c>
      <c r="E136" s="3">
        <v>45786.859375</v>
      </c>
      <c r="F136" s="3">
        <v>45786.885763888888</v>
      </c>
      <c r="G136" s="3">
        <v>45786.960069444453</v>
      </c>
      <c r="H136" s="3">
        <v>45787.047075335649</v>
      </c>
      <c r="I136" s="4">
        <v>2.09</v>
      </c>
      <c r="J136" s="2">
        <v>0</v>
      </c>
      <c r="K136" s="2" t="s">
        <v>31</v>
      </c>
      <c r="L136" s="2" t="s">
        <v>302</v>
      </c>
      <c r="M136" s="2" t="s">
        <v>303</v>
      </c>
      <c r="N136" s="2" t="s">
        <v>193</v>
      </c>
      <c r="O136" s="2" t="s">
        <v>67</v>
      </c>
      <c r="P136" s="2" t="s">
        <v>194</v>
      </c>
      <c r="Q136" s="2" t="s">
        <v>79</v>
      </c>
      <c r="R136" s="2">
        <v>1</v>
      </c>
      <c r="S136" s="2" t="s">
        <v>559</v>
      </c>
      <c r="T136" s="2" t="s">
        <v>220</v>
      </c>
      <c r="U136" s="2" t="s">
        <v>40</v>
      </c>
      <c r="V136" s="2" t="s">
        <v>41</v>
      </c>
      <c r="W136" s="2" t="s">
        <v>81</v>
      </c>
      <c r="X136" s="2" t="s">
        <v>41</v>
      </c>
      <c r="Y136" s="2" t="s">
        <v>71</v>
      </c>
      <c r="Z136" s="2" t="s">
        <v>82</v>
      </c>
      <c r="AA136" s="2" t="s">
        <v>196</v>
      </c>
    </row>
    <row r="137" spans="1:27" x14ac:dyDescent="0.35">
      <c r="A137" s="2" t="s">
        <v>27</v>
      </c>
      <c r="B137" s="2" t="s">
        <v>560</v>
      </c>
      <c r="C137" s="2" t="s">
        <v>485</v>
      </c>
      <c r="D137" s="2" t="s">
        <v>30</v>
      </c>
      <c r="E137" s="3">
        <v>45787.918923611112</v>
      </c>
      <c r="F137" s="3">
        <v>45787.951562499999</v>
      </c>
      <c r="G137" s="3">
        <v>45788.009895833333</v>
      </c>
      <c r="H137" s="3">
        <v>45788.110186412043</v>
      </c>
      <c r="I137" s="4">
        <v>2.41</v>
      </c>
      <c r="J137" s="2">
        <v>0</v>
      </c>
      <c r="K137" s="2" t="s">
        <v>31</v>
      </c>
      <c r="L137" s="2" t="s">
        <v>344</v>
      </c>
      <c r="M137" s="2" t="s">
        <v>345</v>
      </c>
      <c r="N137" s="2" t="s">
        <v>184</v>
      </c>
      <c r="O137" s="2" t="s">
        <v>185</v>
      </c>
      <c r="P137" s="2" t="s">
        <v>36</v>
      </c>
      <c r="Q137" s="2" t="s">
        <v>37</v>
      </c>
      <c r="R137" s="2">
        <v>1</v>
      </c>
      <c r="S137" s="2" t="s">
        <v>561</v>
      </c>
      <c r="T137" s="2" t="s">
        <v>69</v>
      </c>
      <c r="U137" s="2" t="s">
        <v>70</v>
      </c>
      <c r="V137" s="2" t="s">
        <v>41</v>
      </c>
      <c r="W137" s="2" t="s">
        <v>58</v>
      </c>
      <c r="X137" s="2" t="s">
        <v>41</v>
      </c>
      <c r="Y137" s="2" t="s">
        <v>187</v>
      </c>
      <c r="Z137" s="2" t="s">
        <v>45</v>
      </c>
      <c r="AA137" s="2" t="s">
        <v>562</v>
      </c>
    </row>
    <row r="138" spans="1:27" x14ac:dyDescent="0.35">
      <c r="A138" s="2" t="s">
        <v>27</v>
      </c>
      <c r="B138" s="2" t="s">
        <v>563</v>
      </c>
      <c r="C138" s="2" t="s">
        <v>152</v>
      </c>
      <c r="D138" s="2" t="s">
        <v>30</v>
      </c>
      <c r="E138" s="3">
        <v>45789.871759259258</v>
      </c>
      <c r="F138" s="3">
        <v>45789.889120370368</v>
      </c>
      <c r="G138" s="3">
        <v>45789.92800925926</v>
      </c>
      <c r="H138" s="3">
        <v>45790.059483206023</v>
      </c>
      <c r="I138" s="4">
        <v>3.16</v>
      </c>
      <c r="J138" s="2">
        <v>0</v>
      </c>
      <c r="K138" s="2" t="s">
        <v>96</v>
      </c>
      <c r="L138" s="2" t="s">
        <v>256</v>
      </c>
      <c r="M138" s="2" t="s">
        <v>257</v>
      </c>
      <c r="N138" s="2" t="s">
        <v>184</v>
      </c>
      <c r="O138" s="2" t="s">
        <v>185</v>
      </c>
      <c r="P138" s="2" t="s">
        <v>36</v>
      </c>
      <c r="Q138" s="2" t="s">
        <v>37</v>
      </c>
      <c r="R138" s="2">
        <v>1</v>
      </c>
      <c r="S138" s="2" t="s">
        <v>564</v>
      </c>
      <c r="T138" s="2" t="s">
        <v>57</v>
      </c>
      <c r="U138" s="2" t="s">
        <v>40</v>
      </c>
      <c r="V138" s="2" t="s">
        <v>259</v>
      </c>
      <c r="W138" s="2" t="s">
        <v>58</v>
      </c>
      <c r="X138" s="2" t="s">
        <v>41</v>
      </c>
      <c r="Y138" s="2" t="s">
        <v>187</v>
      </c>
      <c r="Z138" s="2" t="s">
        <v>45</v>
      </c>
      <c r="AA138" s="2" t="s">
        <v>565</v>
      </c>
    </row>
    <row r="139" spans="1:27" x14ac:dyDescent="0.35">
      <c r="A139" s="2" t="s">
        <v>27</v>
      </c>
      <c r="B139" s="2" t="s">
        <v>566</v>
      </c>
      <c r="C139" s="2" t="s">
        <v>497</v>
      </c>
      <c r="D139" s="2" t="s">
        <v>63</v>
      </c>
      <c r="E139" s="3">
        <v>45798.335520833331</v>
      </c>
      <c r="F139" s="3">
        <v>45798.345243055563</v>
      </c>
      <c r="G139" s="3">
        <v>45798.366076388891</v>
      </c>
      <c r="H139" s="3">
        <v>45798.399525092587</v>
      </c>
      <c r="I139" s="4">
        <v>0.8</v>
      </c>
      <c r="J139" s="2">
        <v>0</v>
      </c>
      <c r="K139" s="2" t="s">
        <v>49</v>
      </c>
      <c r="L139" s="2" t="s">
        <v>157</v>
      </c>
      <c r="M139" s="2" t="s">
        <v>158</v>
      </c>
      <c r="N139" s="2" t="s">
        <v>159</v>
      </c>
      <c r="O139" s="2" t="s">
        <v>160</v>
      </c>
      <c r="P139" s="2" t="s">
        <v>161</v>
      </c>
      <c r="Q139" s="2" t="s">
        <v>162</v>
      </c>
      <c r="R139" s="2">
        <v>1</v>
      </c>
      <c r="S139" s="2" t="s">
        <v>567</v>
      </c>
      <c r="T139" s="2" t="s">
        <v>98</v>
      </c>
      <c r="U139" s="2" t="s">
        <v>40</v>
      </c>
      <c r="V139" s="2" t="s">
        <v>41</v>
      </c>
      <c r="W139" s="2" t="s">
        <v>81</v>
      </c>
      <c r="X139" s="2" t="s">
        <v>165</v>
      </c>
      <c r="Y139" s="2" t="s">
        <v>41</v>
      </c>
      <c r="Z139" s="2" t="s">
        <v>166</v>
      </c>
      <c r="AA139" s="2" t="s">
        <v>493</v>
      </c>
    </row>
    <row r="140" spans="1:27" x14ac:dyDescent="0.35">
      <c r="A140" s="2" t="s">
        <v>27</v>
      </c>
      <c r="B140" s="2" t="s">
        <v>568</v>
      </c>
      <c r="C140" s="2" t="s">
        <v>296</v>
      </c>
      <c r="D140" s="2" t="s">
        <v>30</v>
      </c>
      <c r="E140" s="3">
        <v>45806.275300925918</v>
      </c>
      <c r="F140" s="3">
        <v>45806.289884259262</v>
      </c>
      <c r="G140" s="3">
        <v>45806.355856481481</v>
      </c>
      <c r="H140" s="3">
        <v>45806.445755682871</v>
      </c>
      <c r="I140" s="4">
        <v>2.16</v>
      </c>
      <c r="J140" s="2">
        <v>0</v>
      </c>
      <c r="K140" s="2" t="s">
        <v>31</v>
      </c>
      <c r="L140" s="2" t="s">
        <v>126</v>
      </c>
      <c r="M140" s="2" t="s">
        <v>127</v>
      </c>
      <c r="N140" s="2" t="s">
        <v>128</v>
      </c>
      <c r="O140" s="2" t="s">
        <v>129</v>
      </c>
      <c r="P140" s="2" t="s">
        <v>130</v>
      </c>
      <c r="Q140" s="2" t="s">
        <v>55</v>
      </c>
      <c r="R140" s="2">
        <v>0</v>
      </c>
      <c r="S140" s="2" t="s">
        <v>569</v>
      </c>
      <c r="T140" s="2" t="s">
        <v>98</v>
      </c>
      <c r="U140" s="2" t="s">
        <v>40</v>
      </c>
      <c r="V140" s="2" t="s">
        <v>41</v>
      </c>
      <c r="W140" s="2" t="s">
        <v>99</v>
      </c>
      <c r="X140" s="2" t="s">
        <v>41</v>
      </c>
      <c r="Y140" s="2" t="s">
        <v>41</v>
      </c>
      <c r="Z140" s="2" t="s">
        <v>59</v>
      </c>
      <c r="AA140" s="2" t="s">
        <v>171</v>
      </c>
    </row>
    <row r="141" spans="1:27" x14ac:dyDescent="0.35">
      <c r="A141" s="2" t="s">
        <v>27</v>
      </c>
      <c r="B141" s="2" t="s">
        <v>570</v>
      </c>
      <c r="C141" s="2" t="s">
        <v>340</v>
      </c>
      <c r="D141" s="2" t="s">
        <v>30</v>
      </c>
      <c r="E141" s="3">
        <v>45813.172858796293</v>
      </c>
      <c r="F141" s="3">
        <v>45813.195081018523</v>
      </c>
      <c r="G141" s="3">
        <v>45813.250636574077</v>
      </c>
      <c r="H141" s="3">
        <v>45813.671866192133</v>
      </c>
      <c r="I141" s="4">
        <v>10.11</v>
      </c>
      <c r="J141" s="2">
        <v>0</v>
      </c>
      <c r="K141" s="2" t="s">
        <v>96</v>
      </c>
      <c r="L141" s="2" t="s">
        <v>276</v>
      </c>
      <c r="M141" s="2" t="s">
        <v>277</v>
      </c>
      <c r="N141" s="2" t="s">
        <v>184</v>
      </c>
      <c r="O141" s="2" t="s">
        <v>185</v>
      </c>
      <c r="P141" s="2" t="s">
        <v>161</v>
      </c>
      <c r="Q141" s="2" t="s">
        <v>162</v>
      </c>
      <c r="R141" s="2">
        <v>1</v>
      </c>
      <c r="S141" s="2" t="s">
        <v>571</v>
      </c>
      <c r="T141" s="2" t="s">
        <v>69</v>
      </c>
      <c r="U141" s="2" t="s">
        <v>70</v>
      </c>
      <c r="V141" s="2" t="s">
        <v>41</v>
      </c>
      <c r="W141" s="2" t="s">
        <v>107</v>
      </c>
      <c r="X141" s="2" t="s">
        <v>41</v>
      </c>
      <c r="Y141" s="2" t="s">
        <v>187</v>
      </c>
      <c r="Z141" s="2" t="s">
        <v>166</v>
      </c>
      <c r="AA141" s="2" t="s">
        <v>572</v>
      </c>
    </row>
    <row r="142" spans="1:27" x14ac:dyDescent="0.35">
      <c r="A142" s="2" t="s">
        <v>27</v>
      </c>
      <c r="B142" s="2" t="s">
        <v>573</v>
      </c>
      <c r="C142" s="2" t="s">
        <v>142</v>
      </c>
      <c r="D142" s="2" t="s">
        <v>63</v>
      </c>
      <c r="E142" s="3">
        <v>45820.506944444453</v>
      </c>
      <c r="F142" s="3">
        <v>45820.512499999997</v>
      </c>
      <c r="G142" s="3">
        <v>45820.563194444447</v>
      </c>
      <c r="H142" s="3">
        <v>45820.620699490741</v>
      </c>
      <c r="I142" s="4">
        <v>1.38</v>
      </c>
      <c r="J142" s="2">
        <v>0</v>
      </c>
      <c r="K142" s="2" t="s">
        <v>31</v>
      </c>
      <c r="L142" s="2" t="s">
        <v>276</v>
      </c>
      <c r="M142" s="2" t="s">
        <v>277</v>
      </c>
      <c r="N142" s="2" t="s">
        <v>184</v>
      </c>
      <c r="O142" s="2" t="s">
        <v>185</v>
      </c>
      <c r="P142" s="2" t="s">
        <v>88</v>
      </c>
      <c r="Q142" s="2" t="s">
        <v>55</v>
      </c>
      <c r="R142" s="2">
        <v>1</v>
      </c>
      <c r="S142" s="2" t="s">
        <v>574</v>
      </c>
      <c r="T142" s="2" t="s">
        <v>57</v>
      </c>
      <c r="U142" s="2" t="s">
        <v>40</v>
      </c>
      <c r="V142" s="2" t="s">
        <v>41</v>
      </c>
      <c r="W142" s="2" t="s">
        <v>107</v>
      </c>
      <c r="X142" s="2" t="s">
        <v>41</v>
      </c>
      <c r="Y142" s="2" t="s">
        <v>187</v>
      </c>
      <c r="Z142" s="2" t="s">
        <v>59</v>
      </c>
      <c r="AA142" s="2" t="s">
        <v>575</v>
      </c>
    </row>
    <row r="143" spans="1:27" x14ac:dyDescent="0.35">
      <c r="A143" s="2" t="s">
        <v>27</v>
      </c>
      <c r="B143" s="2" t="s">
        <v>576</v>
      </c>
      <c r="C143" s="2" t="s">
        <v>323</v>
      </c>
      <c r="D143" s="2" t="s">
        <v>30</v>
      </c>
      <c r="E143" s="3">
        <v>45832.815150462957</v>
      </c>
      <c r="F143" s="3">
        <v>45832.821400462963</v>
      </c>
      <c r="G143" s="3">
        <v>45832.974178240736</v>
      </c>
      <c r="H143" s="3">
        <v>45834.40363375</v>
      </c>
      <c r="I143" s="4">
        <v>34.31</v>
      </c>
      <c r="J143" s="2">
        <v>0</v>
      </c>
      <c r="K143" s="2" t="s">
        <v>31</v>
      </c>
      <c r="L143" s="2" t="s">
        <v>504</v>
      </c>
      <c r="M143" s="2" t="s">
        <v>505</v>
      </c>
      <c r="N143" s="2" t="s">
        <v>326</v>
      </c>
      <c r="O143" s="2" t="s">
        <v>327</v>
      </c>
      <c r="P143" s="2" t="s">
        <v>113</v>
      </c>
      <c r="Q143" s="2" t="s">
        <v>114</v>
      </c>
      <c r="R143" s="2">
        <v>1</v>
      </c>
      <c r="S143" s="2" t="s">
        <v>577</v>
      </c>
      <c r="T143" s="2" t="s">
        <v>69</v>
      </c>
      <c r="U143" s="2" t="s">
        <v>40</v>
      </c>
      <c r="V143" s="2" t="s">
        <v>41</v>
      </c>
      <c r="W143" s="2" t="s">
        <v>99</v>
      </c>
      <c r="X143" s="2" t="s">
        <v>41</v>
      </c>
      <c r="Y143" s="2" t="s">
        <v>41</v>
      </c>
      <c r="Z143" s="2" t="s">
        <v>118</v>
      </c>
      <c r="AA143" s="2" t="s">
        <v>507</v>
      </c>
    </row>
    <row r="144" spans="1:27" x14ac:dyDescent="0.35">
      <c r="A144" s="2" t="s">
        <v>27</v>
      </c>
      <c r="B144" s="2" t="s">
        <v>578</v>
      </c>
      <c r="C144" s="2" t="s">
        <v>435</v>
      </c>
      <c r="D144" s="2" t="s">
        <v>235</v>
      </c>
      <c r="E144" s="3">
        <v>45834.393622685187</v>
      </c>
      <c r="F144" s="3">
        <v>45834.406817129631</v>
      </c>
      <c r="G144" s="3">
        <v>45834.44431712963</v>
      </c>
      <c r="H144" s="3">
        <v>45834.541008564818</v>
      </c>
      <c r="I144" s="4">
        <v>2.3199999999999998</v>
      </c>
      <c r="J144" s="2">
        <v>0</v>
      </c>
      <c r="K144" s="2" t="s">
        <v>96</v>
      </c>
      <c r="L144" s="2" t="s">
        <v>525</v>
      </c>
      <c r="M144" s="2" t="s">
        <v>526</v>
      </c>
      <c r="N144" s="2" t="s">
        <v>52</v>
      </c>
      <c r="O144" s="2" t="s">
        <v>53</v>
      </c>
      <c r="P144" s="2" t="s">
        <v>143</v>
      </c>
      <c r="Q144" s="2" t="s">
        <v>55</v>
      </c>
      <c r="R144" s="2">
        <v>1</v>
      </c>
      <c r="S144" s="2" t="s">
        <v>579</v>
      </c>
      <c r="T144" s="2" t="s">
        <v>138</v>
      </c>
      <c r="U144" s="2" t="s">
        <v>40</v>
      </c>
      <c r="V144" s="2" t="s">
        <v>41</v>
      </c>
      <c r="W144" s="2" t="s">
        <v>107</v>
      </c>
      <c r="X144" s="2" t="s">
        <v>139</v>
      </c>
      <c r="Y144" s="2" t="s">
        <v>41</v>
      </c>
      <c r="Z144" s="2" t="s">
        <v>59</v>
      </c>
      <c r="AA144" s="2" t="s">
        <v>228</v>
      </c>
    </row>
    <row r="145" spans="1:27" x14ac:dyDescent="0.35">
      <c r="A145" s="2" t="s">
        <v>27</v>
      </c>
      <c r="B145" s="2" t="s">
        <v>580</v>
      </c>
      <c r="C145" s="2" t="s">
        <v>405</v>
      </c>
      <c r="D145" s="2" t="s">
        <v>30</v>
      </c>
      <c r="E145" s="3">
        <v>45835.400347222218</v>
      </c>
      <c r="F145" s="3">
        <v>45835.414236111108</v>
      </c>
      <c r="G145" s="3">
        <v>45835.505208333343</v>
      </c>
      <c r="H145" s="3">
        <v>45835.639973252313</v>
      </c>
      <c r="I145" s="4">
        <v>3.23</v>
      </c>
      <c r="J145" s="2">
        <v>0</v>
      </c>
      <c r="K145" s="2" t="s">
        <v>49</v>
      </c>
      <c r="L145" s="2" t="s">
        <v>525</v>
      </c>
      <c r="M145" s="2" t="s">
        <v>526</v>
      </c>
      <c r="N145" s="2" t="s">
        <v>52</v>
      </c>
      <c r="O145" s="2" t="s">
        <v>53</v>
      </c>
      <c r="P145" s="2" t="s">
        <v>130</v>
      </c>
      <c r="Q145" s="2" t="s">
        <v>55</v>
      </c>
      <c r="R145" s="2">
        <v>0</v>
      </c>
      <c r="S145" s="2" t="s">
        <v>581</v>
      </c>
      <c r="T145" s="2" t="s">
        <v>57</v>
      </c>
      <c r="U145" s="2" t="s">
        <v>40</v>
      </c>
      <c r="V145" s="2" t="s">
        <v>41</v>
      </c>
      <c r="W145" s="2" t="s">
        <v>107</v>
      </c>
      <c r="X145" s="2" t="s">
        <v>139</v>
      </c>
      <c r="Y145" s="2" t="s">
        <v>41</v>
      </c>
      <c r="Z145" s="2" t="s">
        <v>59</v>
      </c>
      <c r="AA145" s="2" t="s">
        <v>228</v>
      </c>
    </row>
    <row r="146" spans="1:27" x14ac:dyDescent="0.35">
      <c r="A146" s="2" t="s">
        <v>27</v>
      </c>
      <c r="B146" s="2" t="s">
        <v>582</v>
      </c>
      <c r="C146" s="2" t="s">
        <v>181</v>
      </c>
      <c r="D146" s="2" t="s">
        <v>30</v>
      </c>
      <c r="E146" s="3">
        <v>45837.656747685192</v>
      </c>
      <c r="F146" s="3">
        <v>45837.676192129627</v>
      </c>
      <c r="G146" s="3">
        <v>45837.747025462973</v>
      </c>
      <c r="H146" s="3">
        <v>45837.949224293981</v>
      </c>
      <c r="I146" s="4">
        <v>4.8499999999999996</v>
      </c>
      <c r="J146" s="2">
        <v>0</v>
      </c>
      <c r="K146" s="2" t="s">
        <v>49</v>
      </c>
      <c r="L146" s="2" t="s">
        <v>344</v>
      </c>
      <c r="M146" s="2" t="s">
        <v>345</v>
      </c>
      <c r="N146" s="2" t="s">
        <v>34</v>
      </c>
      <c r="O146" s="2" t="s">
        <v>35</v>
      </c>
      <c r="P146" s="2" t="s">
        <v>113</v>
      </c>
      <c r="Q146" s="2" t="s">
        <v>114</v>
      </c>
      <c r="R146" s="2">
        <v>0</v>
      </c>
      <c r="S146" s="2" t="s">
        <v>583</v>
      </c>
      <c r="T146" s="2" t="s">
        <v>285</v>
      </c>
      <c r="U146" s="2" t="s">
        <v>117</v>
      </c>
      <c r="V146" s="2" t="s">
        <v>41</v>
      </c>
      <c r="W146" s="2" t="s">
        <v>99</v>
      </c>
      <c r="X146" s="2" t="s">
        <v>41</v>
      </c>
      <c r="Y146" s="2" t="s">
        <v>44</v>
      </c>
      <c r="Z146" s="2" t="s">
        <v>118</v>
      </c>
      <c r="AA146" s="2" t="s">
        <v>347</v>
      </c>
    </row>
    <row r="147" spans="1:27" x14ac:dyDescent="0.35">
      <c r="A147" s="2" t="s">
        <v>27</v>
      </c>
      <c r="B147" s="2" t="s">
        <v>584</v>
      </c>
      <c r="C147" s="2" t="s">
        <v>238</v>
      </c>
      <c r="D147" s="2" t="s">
        <v>30</v>
      </c>
      <c r="E147" s="3">
        <v>45843.527222222219</v>
      </c>
      <c r="F147" s="3">
        <v>45843.573055555556</v>
      </c>
      <c r="G147" s="3">
        <v>45843.643888888888</v>
      </c>
      <c r="H147" s="3">
        <v>45843.777209189822</v>
      </c>
      <c r="I147" s="4">
        <v>3.2</v>
      </c>
      <c r="J147" s="2">
        <v>0</v>
      </c>
      <c r="K147" s="2" t="s">
        <v>31</v>
      </c>
      <c r="L147" s="2" t="s">
        <v>75</v>
      </c>
      <c r="M147" s="2" t="s">
        <v>76</v>
      </c>
      <c r="N147" s="2" t="s">
        <v>77</v>
      </c>
      <c r="O147" s="2" t="s">
        <v>35</v>
      </c>
      <c r="P147" s="2" t="s">
        <v>78</v>
      </c>
      <c r="Q147" s="2" t="s">
        <v>79</v>
      </c>
      <c r="R147" s="2">
        <v>0</v>
      </c>
      <c r="S147" s="2" t="s">
        <v>585</v>
      </c>
      <c r="T147" s="2" t="s">
        <v>98</v>
      </c>
      <c r="U147" s="2" t="s">
        <v>40</v>
      </c>
      <c r="V147" s="2" t="s">
        <v>41</v>
      </c>
      <c r="W147" s="2" t="s">
        <v>81</v>
      </c>
      <c r="X147" s="2" t="s">
        <v>41</v>
      </c>
      <c r="Y147" s="2" t="s">
        <v>44</v>
      </c>
      <c r="Z147" s="2" t="s">
        <v>82</v>
      </c>
      <c r="AA147" s="2" t="s">
        <v>83</v>
      </c>
    </row>
    <row r="148" spans="1:27" x14ac:dyDescent="0.35">
      <c r="A148" s="2" t="s">
        <v>27</v>
      </c>
      <c r="B148" s="2" t="s">
        <v>586</v>
      </c>
      <c r="C148" s="2" t="s">
        <v>207</v>
      </c>
      <c r="D148" s="2" t="s">
        <v>63</v>
      </c>
      <c r="E148" s="3">
        <v>45847.517442129632</v>
      </c>
      <c r="F148" s="3">
        <v>45847.550081018519</v>
      </c>
      <c r="G148" s="3">
        <v>45847.667442129627</v>
      </c>
      <c r="H148" s="3">
        <v>45847.702383275457</v>
      </c>
      <c r="I148" s="4">
        <v>0.84</v>
      </c>
      <c r="J148" s="2">
        <v>0</v>
      </c>
      <c r="K148" s="2" t="s">
        <v>49</v>
      </c>
      <c r="L148" s="2" t="s">
        <v>86</v>
      </c>
      <c r="M148" s="2" t="s">
        <v>87</v>
      </c>
      <c r="N148" s="2" t="s">
        <v>77</v>
      </c>
      <c r="O148" s="2" t="s">
        <v>35</v>
      </c>
      <c r="P148" s="2" t="s">
        <v>88</v>
      </c>
      <c r="Q148" s="2" t="s">
        <v>55</v>
      </c>
      <c r="R148" s="2">
        <v>1</v>
      </c>
      <c r="S148" s="2" t="s">
        <v>587</v>
      </c>
      <c r="T148" s="2" t="s">
        <v>57</v>
      </c>
      <c r="U148" s="2" t="s">
        <v>40</v>
      </c>
      <c r="V148" s="2" t="s">
        <v>91</v>
      </c>
      <c r="W148" s="2" t="s">
        <v>99</v>
      </c>
      <c r="X148" s="2" t="s">
        <v>92</v>
      </c>
      <c r="Y148" s="2" t="s">
        <v>44</v>
      </c>
      <c r="Z148" s="2" t="s">
        <v>59</v>
      </c>
      <c r="AA148" s="2" t="s">
        <v>588</v>
      </c>
    </row>
    <row r="149" spans="1:27" x14ac:dyDescent="0.35">
      <c r="A149" s="2" t="s">
        <v>27</v>
      </c>
      <c r="B149" s="2" t="s">
        <v>589</v>
      </c>
      <c r="C149" s="2" t="s">
        <v>95</v>
      </c>
      <c r="D149" s="2" t="s">
        <v>30</v>
      </c>
      <c r="E149" s="3">
        <v>45857.658113425918</v>
      </c>
      <c r="F149" s="3">
        <v>45857.669918981483</v>
      </c>
      <c r="G149" s="3">
        <v>45857.698391203703</v>
      </c>
      <c r="H149" s="3">
        <v>45857.901299895842</v>
      </c>
      <c r="I149" s="4">
        <v>4.87</v>
      </c>
      <c r="J149" s="2">
        <v>0</v>
      </c>
      <c r="K149" s="2" t="s">
        <v>31</v>
      </c>
      <c r="L149" s="2" t="s">
        <v>50</v>
      </c>
      <c r="M149" s="2" t="s">
        <v>51</v>
      </c>
      <c r="N149" s="2" t="s">
        <v>128</v>
      </c>
      <c r="O149" s="2" t="s">
        <v>129</v>
      </c>
      <c r="P149" s="2" t="s">
        <v>143</v>
      </c>
      <c r="Q149" s="2" t="s">
        <v>55</v>
      </c>
      <c r="R149" s="2">
        <v>0</v>
      </c>
      <c r="S149" s="2" t="s">
        <v>590</v>
      </c>
      <c r="T149" s="2" t="s">
        <v>57</v>
      </c>
      <c r="U149" s="2" t="s">
        <v>40</v>
      </c>
      <c r="V149" s="2" t="s">
        <v>41</v>
      </c>
      <c r="W149" s="2" t="s">
        <v>99</v>
      </c>
      <c r="X149" s="2" t="s">
        <v>41</v>
      </c>
      <c r="Y149" s="2" t="s">
        <v>41</v>
      </c>
      <c r="Z149" s="2" t="s">
        <v>59</v>
      </c>
      <c r="AA149" s="2" t="s">
        <v>171</v>
      </c>
    </row>
    <row r="150" spans="1:27" x14ac:dyDescent="0.35">
      <c r="A150" s="2" t="s">
        <v>27</v>
      </c>
      <c r="B150" s="2" t="s">
        <v>591</v>
      </c>
      <c r="C150" s="2" t="s">
        <v>121</v>
      </c>
      <c r="D150" s="2" t="s">
        <v>30</v>
      </c>
      <c r="E150" s="3">
        <v>45865.879976851851</v>
      </c>
      <c r="F150" s="3">
        <v>45865.892476851863</v>
      </c>
      <c r="G150" s="3">
        <v>45865.928587962961</v>
      </c>
      <c r="H150" s="3">
        <v>45865.976921122689</v>
      </c>
      <c r="I150" s="4">
        <v>1.1599999999999999</v>
      </c>
      <c r="J150" s="2">
        <v>0</v>
      </c>
      <c r="K150" s="2" t="s">
        <v>31</v>
      </c>
      <c r="L150" s="2" t="s">
        <v>256</v>
      </c>
      <c r="M150" s="2" t="s">
        <v>257</v>
      </c>
      <c r="N150" s="2" t="s">
        <v>184</v>
      </c>
      <c r="O150" s="2" t="s">
        <v>185</v>
      </c>
      <c r="P150" s="2" t="s">
        <v>113</v>
      </c>
      <c r="Q150" s="2" t="s">
        <v>114</v>
      </c>
      <c r="R150" s="2">
        <v>0</v>
      </c>
      <c r="S150" s="2" t="s">
        <v>592</v>
      </c>
      <c r="T150" s="2" t="s">
        <v>69</v>
      </c>
      <c r="U150" s="2" t="s">
        <v>40</v>
      </c>
      <c r="V150" s="2" t="s">
        <v>259</v>
      </c>
      <c r="W150" s="2" t="s">
        <v>99</v>
      </c>
      <c r="X150" s="2" t="s">
        <v>41</v>
      </c>
      <c r="Y150" s="2" t="s">
        <v>187</v>
      </c>
      <c r="Z150" s="2" t="s">
        <v>118</v>
      </c>
      <c r="AA150" s="2" t="s">
        <v>593</v>
      </c>
    </row>
    <row r="151" spans="1:27" x14ac:dyDescent="0.35">
      <c r="A151" s="2" t="s">
        <v>27</v>
      </c>
      <c r="B151" s="2" t="s">
        <v>594</v>
      </c>
      <c r="C151" s="2" t="s">
        <v>414</v>
      </c>
      <c r="D151" s="2" t="s">
        <v>30</v>
      </c>
      <c r="E151" s="3">
        <v>45867.927349537043</v>
      </c>
      <c r="F151" s="3">
        <v>45867.946793981479</v>
      </c>
      <c r="G151" s="3">
        <v>45867.976655092592</v>
      </c>
      <c r="H151" s="3">
        <v>45868.060998587956</v>
      </c>
      <c r="I151" s="4">
        <v>2.02</v>
      </c>
      <c r="J151" s="2">
        <v>0</v>
      </c>
      <c r="K151" s="2" t="s">
        <v>49</v>
      </c>
      <c r="L151" s="2" t="s">
        <v>86</v>
      </c>
      <c r="M151" s="2" t="s">
        <v>87</v>
      </c>
      <c r="N151" s="2" t="s">
        <v>66</v>
      </c>
      <c r="O151" s="2" t="s">
        <v>67</v>
      </c>
      <c r="P151" s="2" t="s">
        <v>88</v>
      </c>
      <c r="Q151" s="2" t="s">
        <v>55</v>
      </c>
      <c r="R151" s="2">
        <v>1</v>
      </c>
      <c r="S151" s="2" t="s">
        <v>595</v>
      </c>
      <c r="T151" s="2" t="s">
        <v>39</v>
      </c>
      <c r="U151" s="2" t="s">
        <v>40</v>
      </c>
      <c r="V151" s="2" t="s">
        <v>91</v>
      </c>
      <c r="W151" s="2" t="s">
        <v>107</v>
      </c>
      <c r="X151" s="2" t="s">
        <v>92</v>
      </c>
      <c r="Y151" s="2" t="s">
        <v>71</v>
      </c>
      <c r="Z151" s="2" t="s">
        <v>59</v>
      </c>
      <c r="AA151" s="2" t="s">
        <v>342</v>
      </c>
    </row>
    <row r="152" spans="1:27" x14ac:dyDescent="0.35">
      <c r="A152" s="2" t="s">
        <v>27</v>
      </c>
      <c r="B152" s="2" t="s">
        <v>596</v>
      </c>
      <c r="C152" s="2" t="s">
        <v>491</v>
      </c>
      <c r="D152" s="2" t="s">
        <v>63</v>
      </c>
      <c r="E152" s="3">
        <v>45874.486689814818</v>
      </c>
      <c r="F152" s="3">
        <v>45874.504050925927</v>
      </c>
      <c r="G152" s="3">
        <v>45874.540162037039</v>
      </c>
      <c r="H152" s="3">
        <v>45874.555534004627</v>
      </c>
      <c r="I152" s="4">
        <v>0.37</v>
      </c>
      <c r="J152" s="2">
        <v>0</v>
      </c>
      <c r="K152" s="2" t="s">
        <v>31</v>
      </c>
      <c r="L152" s="2" t="s">
        <v>243</v>
      </c>
      <c r="M152" s="2" t="s">
        <v>244</v>
      </c>
      <c r="N152" s="2" t="s">
        <v>159</v>
      </c>
      <c r="O152" s="2" t="s">
        <v>160</v>
      </c>
      <c r="P152" s="2" t="s">
        <v>88</v>
      </c>
      <c r="Q152" s="2" t="s">
        <v>55</v>
      </c>
      <c r="R152" s="2">
        <v>1</v>
      </c>
      <c r="S152" s="2" t="s">
        <v>597</v>
      </c>
      <c r="T152" s="2" t="s">
        <v>164</v>
      </c>
      <c r="U152" s="2" t="s">
        <v>40</v>
      </c>
      <c r="V152" s="2" t="s">
        <v>246</v>
      </c>
      <c r="W152" s="2" t="s">
        <v>81</v>
      </c>
      <c r="X152" s="2" t="s">
        <v>41</v>
      </c>
      <c r="Y152" s="2" t="s">
        <v>41</v>
      </c>
      <c r="Z152" s="2" t="s">
        <v>59</v>
      </c>
      <c r="AA152" s="2" t="s">
        <v>598</v>
      </c>
    </row>
    <row r="153" spans="1:27" x14ac:dyDescent="0.35">
      <c r="A153" s="2" t="s">
        <v>27</v>
      </c>
      <c r="B153" s="2" t="s">
        <v>599</v>
      </c>
      <c r="C153" s="2" t="s">
        <v>198</v>
      </c>
      <c r="D153" s="2" t="s">
        <v>30</v>
      </c>
      <c r="E153" s="3">
        <v>45880.086747685193</v>
      </c>
      <c r="F153" s="3">
        <v>45880.098553240743</v>
      </c>
      <c r="G153" s="3">
        <v>45880.138831018521</v>
      </c>
      <c r="H153" s="3">
        <v>45880.216127465283</v>
      </c>
      <c r="I153" s="4">
        <v>1.86</v>
      </c>
      <c r="J153" s="2">
        <v>0</v>
      </c>
      <c r="K153" s="2" t="s">
        <v>49</v>
      </c>
      <c r="L153" s="2" t="s">
        <v>269</v>
      </c>
      <c r="M153" s="2" t="s">
        <v>270</v>
      </c>
      <c r="N153" s="2" t="s">
        <v>66</v>
      </c>
      <c r="O153" s="2" t="s">
        <v>67</v>
      </c>
      <c r="P153" s="2" t="s">
        <v>161</v>
      </c>
      <c r="Q153" s="2" t="s">
        <v>162</v>
      </c>
      <c r="R153" s="2">
        <v>1</v>
      </c>
      <c r="S153" s="2" t="s">
        <v>600</v>
      </c>
      <c r="T153" s="2" t="s">
        <v>98</v>
      </c>
      <c r="U153" s="2" t="s">
        <v>40</v>
      </c>
      <c r="V153" s="2" t="s">
        <v>272</v>
      </c>
      <c r="W153" s="2" t="s">
        <v>81</v>
      </c>
      <c r="X153" s="2" t="s">
        <v>41</v>
      </c>
      <c r="Y153" s="2" t="s">
        <v>71</v>
      </c>
      <c r="Z153" s="2" t="s">
        <v>166</v>
      </c>
      <c r="AA153" s="2" t="s">
        <v>601</v>
      </c>
    </row>
    <row r="154" spans="1:27" x14ac:dyDescent="0.35">
      <c r="A154" s="2" t="s">
        <v>27</v>
      </c>
      <c r="B154" s="2" t="s">
        <v>602</v>
      </c>
      <c r="C154" s="2" t="s">
        <v>156</v>
      </c>
      <c r="D154" s="2" t="s">
        <v>235</v>
      </c>
      <c r="E154" s="3">
        <v>45884.173275462963</v>
      </c>
      <c r="F154" s="3">
        <v>45884.190636574072</v>
      </c>
      <c r="G154" s="3">
        <v>45884.238553240742</v>
      </c>
      <c r="H154" s="3">
        <v>45884.365860347221</v>
      </c>
      <c r="I154" s="4">
        <v>3.06</v>
      </c>
      <c r="J154" s="2">
        <v>0</v>
      </c>
      <c r="K154" s="2" t="s">
        <v>49</v>
      </c>
      <c r="L154" s="2" t="s">
        <v>111</v>
      </c>
      <c r="M154" s="2" t="s">
        <v>112</v>
      </c>
      <c r="N154" s="2" t="s">
        <v>34</v>
      </c>
      <c r="O154" s="2" t="s">
        <v>35</v>
      </c>
      <c r="P154" s="2" t="s">
        <v>130</v>
      </c>
      <c r="Q154" s="2" t="s">
        <v>55</v>
      </c>
      <c r="R154" s="2">
        <v>0</v>
      </c>
      <c r="S154" s="2" t="s">
        <v>603</v>
      </c>
      <c r="T154" s="2" t="s">
        <v>132</v>
      </c>
      <c r="U154" s="2" t="s">
        <v>40</v>
      </c>
      <c r="V154" s="2" t="s">
        <v>41</v>
      </c>
      <c r="W154" s="2" t="s">
        <v>81</v>
      </c>
      <c r="X154" s="2" t="s">
        <v>41</v>
      </c>
      <c r="Y154" s="2" t="s">
        <v>44</v>
      </c>
      <c r="Z154" s="2" t="s">
        <v>59</v>
      </c>
      <c r="AA154" s="2" t="s">
        <v>604</v>
      </c>
    </row>
    <row r="155" spans="1:27" x14ac:dyDescent="0.35">
      <c r="A155" s="2" t="s">
        <v>27</v>
      </c>
      <c r="B155" s="2" t="s">
        <v>605</v>
      </c>
      <c r="C155" s="2" t="s">
        <v>125</v>
      </c>
      <c r="D155" s="2" t="s">
        <v>30</v>
      </c>
      <c r="E155" s="3">
        <v>45890.288680555554</v>
      </c>
      <c r="F155" s="3">
        <v>45890.293541666673</v>
      </c>
      <c r="G155" s="3">
        <v>45890.321319444447</v>
      </c>
      <c r="H155" s="3">
        <v>45890.375171898151</v>
      </c>
      <c r="I155" s="4">
        <v>1.29</v>
      </c>
      <c r="J155" s="2">
        <v>0</v>
      </c>
      <c r="K155" s="2" t="s">
        <v>49</v>
      </c>
      <c r="L155" s="2" t="s">
        <v>269</v>
      </c>
      <c r="M155" s="2" t="s">
        <v>270</v>
      </c>
      <c r="N155" s="2" t="s">
        <v>52</v>
      </c>
      <c r="O155" s="2" t="s">
        <v>53</v>
      </c>
      <c r="P155" s="2" t="s">
        <v>88</v>
      </c>
      <c r="Q155" s="2" t="s">
        <v>55</v>
      </c>
      <c r="R155" s="2">
        <v>0</v>
      </c>
      <c r="S155" s="2" t="s">
        <v>606</v>
      </c>
      <c r="T155" s="2" t="s">
        <v>69</v>
      </c>
      <c r="U155" s="2" t="s">
        <v>40</v>
      </c>
      <c r="V155" s="2" t="s">
        <v>272</v>
      </c>
      <c r="W155" s="2" t="s">
        <v>107</v>
      </c>
      <c r="X155" s="2" t="s">
        <v>41</v>
      </c>
      <c r="Y155" s="2" t="s">
        <v>41</v>
      </c>
      <c r="Z155" s="2" t="s">
        <v>59</v>
      </c>
      <c r="AA155" s="2" t="s">
        <v>607</v>
      </c>
    </row>
    <row r="156" spans="1:27" x14ac:dyDescent="0.35">
      <c r="A156" s="2" t="s">
        <v>27</v>
      </c>
      <c r="B156" s="2" t="s">
        <v>608</v>
      </c>
      <c r="C156" s="2" t="s">
        <v>207</v>
      </c>
      <c r="D156" s="2" t="s">
        <v>30</v>
      </c>
      <c r="E156" s="3">
        <v>45896.239247685182</v>
      </c>
      <c r="F156" s="3">
        <v>45896.246192129627</v>
      </c>
      <c r="G156" s="3">
        <v>45896.298275462963</v>
      </c>
      <c r="H156" s="3">
        <v>45896.478671307872</v>
      </c>
      <c r="I156" s="4">
        <v>4.33</v>
      </c>
      <c r="J156" s="2">
        <v>0</v>
      </c>
      <c r="K156" s="2" t="s">
        <v>49</v>
      </c>
      <c r="L156" s="2" t="s">
        <v>276</v>
      </c>
      <c r="M156" s="2" t="s">
        <v>277</v>
      </c>
      <c r="N156" s="2" t="s">
        <v>52</v>
      </c>
      <c r="O156" s="2" t="s">
        <v>53</v>
      </c>
      <c r="P156" s="2" t="s">
        <v>78</v>
      </c>
      <c r="Q156" s="2" t="s">
        <v>79</v>
      </c>
      <c r="R156" s="2">
        <v>1</v>
      </c>
      <c r="S156" s="2" t="s">
        <v>609</v>
      </c>
      <c r="T156" s="2" t="s">
        <v>138</v>
      </c>
      <c r="U156" s="2" t="s">
        <v>70</v>
      </c>
      <c r="V156" s="2" t="s">
        <v>41</v>
      </c>
      <c r="W156" s="2" t="s">
        <v>42</v>
      </c>
      <c r="X156" s="2" t="s">
        <v>41</v>
      </c>
      <c r="Y156" s="2" t="s">
        <v>41</v>
      </c>
      <c r="Z156" s="2" t="s">
        <v>82</v>
      </c>
      <c r="AA156" s="2" t="s">
        <v>610</v>
      </c>
    </row>
    <row r="157" spans="1:27" x14ac:dyDescent="0.35">
      <c r="A157" s="2" t="s">
        <v>27</v>
      </c>
      <c r="B157" s="2" t="s">
        <v>611</v>
      </c>
      <c r="C157" s="2" t="s">
        <v>536</v>
      </c>
      <c r="D157" s="2" t="s">
        <v>30</v>
      </c>
      <c r="E157" s="3">
        <v>45914.182916666658</v>
      </c>
      <c r="F157" s="3"/>
      <c r="G157" s="3">
        <v>45914.216944444437</v>
      </c>
      <c r="H157" s="3">
        <v>45914.527504305559</v>
      </c>
      <c r="I157" s="4">
        <v>7.45</v>
      </c>
      <c r="J157" s="2">
        <v>0</v>
      </c>
      <c r="K157" s="2" t="s">
        <v>49</v>
      </c>
      <c r="L157" s="2" t="s">
        <v>269</v>
      </c>
      <c r="M157" s="2" t="s">
        <v>270</v>
      </c>
      <c r="N157" s="2" t="s">
        <v>77</v>
      </c>
      <c r="O157" s="2" t="s">
        <v>35</v>
      </c>
      <c r="P157" s="2" t="s">
        <v>143</v>
      </c>
      <c r="Q157" s="2" t="s">
        <v>55</v>
      </c>
      <c r="R157" s="2">
        <v>1</v>
      </c>
      <c r="S157" s="2" t="s">
        <v>612</v>
      </c>
      <c r="T157" s="2" t="s">
        <v>164</v>
      </c>
      <c r="U157" s="2" t="s">
        <v>40</v>
      </c>
      <c r="V157" s="2" t="s">
        <v>272</v>
      </c>
      <c r="W157" s="2" t="s">
        <v>81</v>
      </c>
      <c r="X157" s="2" t="s">
        <v>41</v>
      </c>
      <c r="Y157" s="2" t="s">
        <v>44</v>
      </c>
      <c r="Z157" s="2" t="s">
        <v>59</v>
      </c>
      <c r="AA157" s="2" t="s">
        <v>613</v>
      </c>
    </row>
    <row r="158" spans="1:27" x14ac:dyDescent="0.35">
      <c r="A158" s="2" t="s">
        <v>27</v>
      </c>
      <c r="B158" s="2" t="s">
        <v>614</v>
      </c>
      <c r="C158" s="2" t="s">
        <v>503</v>
      </c>
      <c r="D158" s="2" t="s">
        <v>30</v>
      </c>
      <c r="E158" s="3">
        <v>45919.95590277778</v>
      </c>
      <c r="F158" s="3">
        <v>45919.960763888892</v>
      </c>
      <c r="G158" s="3">
        <v>45920.010069444441</v>
      </c>
      <c r="H158" s="3">
        <v>45920.214193449072</v>
      </c>
      <c r="I158" s="4">
        <v>4.9000000000000004</v>
      </c>
      <c r="J158" s="2">
        <v>0</v>
      </c>
      <c r="K158" s="2" t="s">
        <v>96</v>
      </c>
      <c r="L158" s="2" t="s">
        <v>615</v>
      </c>
      <c r="M158" s="2" t="s">
        <v>616</v>
      </c>
      <c r="N158" s="2" t="s">
        <v>52</v>
      </c>
      <c r="O158" s="2" t="s">
        <v>53</v>
      </c>
      <c r="P158" s="2" t="s">
        <v>130</v>
      </c>
      <c r="Q158" s="2" t="s">
        <v>55</v>
      </c>
      <c r="R158" s="2">
        <v>1</v>
      </c>
      <c r="S158" s="2" t="s">
        <v>617</v>
      </c>
      <c r="T158" s="2" t="s">
        <v>57</v>
      </c>
      <c r="U158" s="2" t="s">
        <v>70</v>
      </c>
      <c r="V158" s="2" t="s">
        <v>91</v>
      </c>
      <c r="W158" s="2" t="s">
        <v>99</v>
      </c>
      <c r="X158" s="2" t="s">
        <v>92</v>
      </c>
      <c r="Y158" s="2" t="s">
        <v>41</v>
      </c>
      <c r="Z158" s="2" t="s">
        <v>59</v>
      </c>
      <c r="AA158" s="2" t="s">
        <v>618</v>
      </c>
    </row>
    <row r="159" spans="1:27" x14ac:dyDescent="0.35">
      <c r="A159" s="2" t="s">
        <v>27</v>
      </c>
      <c r="B159" s="2" t="s">
        <v>619</v>
      </c>
      <c r="C159" s="2" t="s">
        <v>29</v>
      </c>
      <c r="D159" s="2" t="s">
        <v>30</v>
      </c>
      <c r="E159" s="3">
        <v>45921.230347222219</v>
      </c>
      <c r="F159" s="3">
        <v>45921.259513888886</v>
      </c>
      <c r="G159" s="3">
        <v>45921.280347222222</v>
      </c>
      <c r="H159" s="3">
        <v>45921.723825682871</v>
      </c>
      <c r="I159" s="4">
        <v>10.64</v>
      </c>
      <c r="J159" s="2">
        <v>0</v>
      </c>
      <c r="K159" s="2" t="s">
        <v>96</v>
      </c>
      <c r="L159" s="2" t="s">
        <v>182</v>
      </c>
      <c r="M159" s="2" t="s">
        <v>183</v>
      </c>
      <c r="N159" s="2" t="s">
        <v>326</v>
      </c>
      <c r="O159" s="2" t="s">
        <v>327</v>
      </c>
      <c r="P159" s="2" t="s">
        <v>130</v>
      </c>
      <c r="Q159" s="2" t="s">
        <v>55</v>
      </c>
      <c r="R159" s="2">
        <v>1</v>
      </c>
      <c r="S159" s="2" t="s">
        <v>620</v>
      </c>
      <c r="T159" s="2" t="s">
        <v>90</v>
      </c>
      <c r="U159" s="2" t="s">
        <v>40</v>
      </c>
      <c r="V159" s="2" t="s">
        <v>106</v>
      </c>
      <c r="W159" s="2" t="s">
        <v>42</v>
      </c>
      <c r="X159" s="2" t="s">
        <v>41</v>
      </c>
      <c r="Y159" s="2" t="s">
        <v>41</v>
      </c>
      <c r="Z159" s="2" t="s">
        <v>59</v>
      </c>
      <c r="AA159" s="2" t="s">
        <v>621</v>
      </c>
    </row>
    <row r="160" spans="1:27" x14ac:dyDescent="0.35">
      <c r="A160" s="2" t="s">
        <v>27</v>
      </c>
      <c r="B160" s="2" t="s">
        <v>622</v>
      </c>
      <c r="C160" s="2" t="s">
        <v>435</v>
      </c>
      <c r="D160" s="2" t="s">
        <v>30</v>
      </c>
      <c r="E160" s="3">
        <v>45921.757106481477</v>
      </c>
      <c r="F160" s="3">
        <v>45921.760578703703</v>
      </c>
      <c r="G160" s="3">
        <v>45921.795300925929</v>
      </c>
      <c r="H160" s="3">
        <v>45922.304252199072</v>
      </c>
      <c r="I160" s="4">
        <v>12.21</v>
      </c>
      <c r="J160" s="2">
        <v>0</v>
      </c>
      <c r="K160" s="2" t="s">
        <v>49</v>
      </c>
      <c r="L160" s="2" t="s">
        <v>103</v>
      </c>
      <c r="M160" s="2" t="s">
        <v>104</v>
      </c>
      <c r="N160" s="2" t="s">
        <v>66</v>
      </c>
      <c r="O160" s="2" t="s">
        <v>67</v>
      </c>
      <c r="P160" s="2" t="s">
        <v>54</v>
      </c>
      <c r="Q160" s="2" t="s">
        <v>55</v>
      </c>
      <c r="R160" s="2">
        <v>0</v>
      </c>
      <c r="S160" s="2" t="s">
        <v>623</v>
      </c>
      <c r="T160" s="2" t="s">
        <v>132</v>
      </c>
      <c r="U160" s="2" t="s">
        <v>40</v>
      </c>
      <c r="V160" s="2" t="s">
        <v>106</v>
      </c>
      <c r="W160" s="2" t="s">
        <v>42</v>
      </c>
      <c r="X160" s="2" t="s">
        <v>41</v>
      </c>
      <c r="Y160" s="2" t="s">
        <v>71</v>
      </c>
      <c r="Z160" s="2" t="s">
        <v>59</v>
      </c>
      <c r="AA160" s="2" t="s">
        <v>123</v>
      </c>
    </row>
    <row r="161" spans="1:27" x14ac:dyDescent="0.35">
      <c r="A161" s="2" t="s">
        <v>27</v>
      </c>
      <c r="B161" s="2" t="s">
        <v>624</v>
      </c>
      <c r="C161" s="2" t="s">
        <v>152</v>
      </c>
      <c r="D161" s="2" t="s">
        <v>63</v>
      </c>
      <c r="E161" s="3">
        <v>45927.993101851847</v>
      </c>
      <c r="F161" s="3">
        <v>45928.002824074072</v>
      </c>
      <c r="G161" s="3">
        <v>45928.026435185187</v>
      </c>
      <c r="H161" s="3">
        <v>45928.508105960653</v>
      </c>
      <c r="I161" s="4">
        <v>11.56</v>
      </c>
      <c r="J161" s="2">
        <v>0</v>
      </c>
      <c r="K161" s="2" t="s">
        <v>96</v>
      </c>
      <c r="L161" s="2" t="s">
        <v>344</v>
      </c>
      <c r="M161" s="2" t="s">
        <v>345</v>
      </c>
      <c r="N161" s="2" t="s">
        <v>184</v>
      </c>
      <c r="O161" s="2" t="s">
        <v>185</v>
      </c>
      <c r="P161" s="2" t="s">
        <v>113</v>
      </c>
      <c r="Q161" s="2" t="s">
        <v>114</v>
      </c>
      <c r="R161" s="2">
        <v>1</v>
      </c>
      <c r="S161" s="2" t="s">
        <v>625</v>
      </c>
      <c r="T161" s="2" t="s">
        <v>116</v>
      </c>
      <c r="U161" s="2" t="s">
        <v>117</v>
      </c>
      <c r="V161" s="2" t="s">
        <v>41</v>
      </c>
      <c r="W161" s="2" t="s">
        <v>58</v>
      </c>
      <c r="X161" s="2" t="s">
        <v>41</v>
      </c>
      <c r="Y161" s="2" t="s">
        <v>187</v>
      </c>
      <c r="Z161" s="2" t="s">
        <v>118</v>
      </c>
      <c r="AA161" s="2" t="s">
        <v>626</v>
      </c>
    </row>
    <row r="162" spans="1:27" x14ac:dyDescent="0.35">
      <c r="A162" s="2" t="s">
        <v>27</v>
      </c>
      <c r="B162" s="2" t="s">
        <v>627</v>
      </c>
      <c r="C162" s="2" t="s">
        <v>334</v>
      </c>
      <c r="D162" s="2" t="s">
        <v>30</v>
      </c>
      <c r="E162" s="3">
        <v>45935.835868055547</v>
      </c>
      <c r="F162" s="3">
        <v>45935.845590277779</v>
      </c>
      <c r="G162" s="3">
        <v>45935.866423611107</v>
      </c>
      <c r="H162" s="3">
        <v>45935.91550166667</v>
      </c>
      <c r="I162" s="4">
        <v>1.18</v>
      </c>
      <c r="J162" s="2">
        <v>0</v>
      </c>
      <c r="K162" s="2" t="s">
        <v>49</v>
      </c>
      <c r="L162" s="2" t="s">
        <v>217</v>
      </c>
      <c r="M162" s="2" t="s">
        <v>218</v>
      </c>
      <c r="N162" s="2" t="s">
        <v>326</v>
      </c>
      <c r="O162" s="2" t="s">
        <v>327</v>
      </c>
      <c r="P162" s="2" t="s">
        <v>143</v>
      </c>
      <c r="Q162" s="2" t="s">
        <v>55</v>
      </c>
      <c r="R162" s="2">
        <v>1</v>
      </c>
      <c r="S162" s="2" t="s">
        <v>628</v>
      </c>
      <c r="T162" s="2" t="s">
        <v>285</v>
      </c>
      <c r="U162" s="2" t="s">
        <v>117</v>
      </c>
      <c r="V162" s="2" t="s">
        <v>41</v>
      </c>
      <c r="W162" s="2" t="s">
        <v>99</v>
      </c>
      <c r="X162" s="2" t="s">
        <v>92</v>
      </c>
      <c r="Y162" s="2" t="s">
        <v>41</v>
      </c>
      <c r="Z162" s="2" t="s">
        <v>59</v>
      </c>
      <c r="AA162" s="2" t="s">
        <v>629</v>
      </c>
    </row>
    <row r="163" spans="1:27" x14ac:dyDescent="0.35">
      <c r="A163" s="2" t="s">
        <v>27</v>
      </c>
      <c r="B163" s="2" t="s">
        <v>630</v>
      </c>
      <c r="C163" s="2" t="s">
        <v>48</v>
      </c>
      <c r="D163" s="2" t="s">
        <v>30</v>
      </c>
      <c r="E163" s="3">
        <v>45937.699467592603</v>
      </c>
      <c r="F163" s="3">
        <v>45937.705023148148</v>
      </c>
      <c r="G163" s="3">
        <v>45937.734884259262</v>
      </c>
      <c r="H163" s="3">
        <v>45937.821330636572</v>
      </c>
      <c r="I163" s="4">
        <v>2.0699999999999998</v>
      </c>
      <c r="J163" s="2">
        <v>0</v>
      </c>
      <c r="K163" s="2" t="s">
        <v>49</v>
      </c>
      <c r="L163" s="2" t="s">
        <v>147</v>
      </c>
      <c r="M163" s="2" t="s">
        <v>148</v>
      </c>
      <c r="N163" s="2" t="s">
        <v>66</v>
      </c>
      <c r="O163" s="2" t="s">
        <v>67</v>
      </c>
      <c r="P163" s="2" t="s">
        <v>54</v>
      </c>
      <c r="Q163" s="2" t="s">
        <v>55</v>
      </c>
      <c r="R163" s="2">
        <v>0</v>
      </c>
      <c r="S163" s="2" t="s">
        <v>631</v>
      </c>
      <c r="T163" s="2" t="s">
        <v>138</v>
      </c>
      <c r="U163" s="2" t="s">
        <v>40</v>
      </c>
      <c r="V163" s="2" t="s">
        <v>106</v>
      </c>
      <c r="W163" s="2" t="s">
        <v>58</v>
      </c>
      <c r="X163" s="2" t="s">
        <v>41</v>
      </c>
      <c r="Y163" s="2" t="s">
        <v>71</v>
      </c>
      <c r="Z163" s="2" t="s">
        <v>59</v>
      </c>
      <c r="AA163" s="2" t="s">
        <v>294</v>
      </c>
    </row>
    <row r="164" spans="1:27" x14ac:dyDescent="0.35">
      <c r="A164" s="2" t="s">
        <v>27</v>
      </c>
      <c r="B164" s="2" t="s">
        <v>632</v>
      </c>
      <c r="C164" s="2" t="s">
        <v>536</v>
      </c>
      <c r="D164" s="2" t="s">
        <v>30</v>
      </c>
      <c r="E164" s="3">
        <v>45937.711412037039</v>
      </c>
      <c r="F164" s="3">
        <v>45937.741273148153</v>
      </c>
      <c r="G164" s="3">
        <v>45937.766273148147</v>
      </c>
      <c r="H164" s="3">
        <v>45937.894554259263</v>
      </c>
      <c r="I164" s="4">
        <v>3.08</v>
      </c>
      <c r="J164" s="2">
        <v>0</v>
      </c>
      <c r="K164" s="2" t="s">
        <v>49</v>
      </c>
      <c r="L164" s="2" t="s">
        <v>217</v>
      </c>
      <c r="M164" s="2" t="s">
        <v>218</v>
      </c>
      <c r="N164" s="2" t="s">
        <v>326</v>
      </c>
      <c r="O164" s="2" t="s">
        <v>327</v>
      </c>
      <c r="P164" s="2" t="s">
        <v>143</v>
      </c>
      <c r="Q164" s="2" t="s">
        <v>55</v>
      </c>
      <c r="R164" s="2">
        <v>0</v>
      </c>
      <c r="S164" s="2" t="s">
        <v>633</v>
      </c>
      <c r="T164" s="2" t="s">
        <v>39</v>
      </c>
      <c r="U164" s="2" t="s">
        <v>40</v>
      </c>
      <c r="V164" s="2" t="s">
        <v>41</v>
      </c>
      <c r="W164" s="2" t="s">
        <v>42</v>
      </c>
      <c r="X164" s="2" t="s">
        <v>92</v>
      </c>
      <c r="Y164" s="2" t="s">
        <v>41</v>
      </c>
      <c r="Z164" s="2" t="s">
        <v>59</v>
      </c>
      <c r="AA164" s="2" t="s">
        <v>634</v>
      </c>
    </row>
    <row r="165" spans="1:27" x14ac:dyDescent="0.35">
      <c r="A165" s="2" t="s">
        <v>27</v>
      </c>
      <c r="B165" s="2" t="s">
        <v>635</v>
      </c>
      <c r="C165" s="2" t="s">
        <v>198</v>
      </c>
      <c r="D165" s="2" t="s">
        <v>30</v>
      </c>
      <c r="E165" s="3">
        <v>45944.933530092603</v>
      </c>
      <c r="F165" s="3"/>
      <c r="G165" s="3">
        <v>45944.974502314813</v>
      </c>
      <c r="H165" s="3">
        <v>45945.049355289353</v>
      </c>
      <c r="I165" s="4">
        <v>1.8</v>
      </c>
      <c r="J165" s="2">
        <v>0</v>
      </c>
      <c r="K165" s="2" t="s">
        <v>49</v>
      </c>
      <c r="L165" s="2" t="s">
        <v>420</v>
      </c>
      <c r="M165" s="2" t="s">
        <v>421</v>
      </c>
      <c r="N165" s="2" t="s">
        <v>66</v>
      </c>
      <c r="O165" s="2" t="s">
        <v>67</v>
      </c>
      <c r="P165" s="2" t="s">
        <v>78</v>
      </c>
      <c r="Q165" s="2" t="s">
        <v>79</v>
      </c>
      <c r="R165" s="2">
        <v>1</v>
      </c>
      <c r="S165" s="2" t="s">
        <v>636</v>
      </c>
      <c r="T165" s="2" t="s">
        <v>90</v>
      </c>
      <c r="U165" s="2" t="s">
        <v>40</v>
      </c>
      <c r="V165" s="2" t="s">
        <v>41</v>
      </c>
      <c r="W165" s="2" t="s">
        <v>107</v>
      </c>
      <c r="X165" s="2" t="s">
        <v>41</v>
      </c>
      <c r="Y165" s="2" t="s">
        <v>71</v>
      </c>
      <c r="Z165" s="2" t="s">
        <v>82</v>
      </c>
      <c r="AA165" s="2" t="s">
        <v>637</v>
      </c>
    </row>
    <row r="166" spans="1:27" x14ac:dyDescent="0.35">
      <c r="A166" s="2" t="s">
        <v>27</v>
      </c>
      <c r="B166" s="2" t="s">
        <v>638</v>
      </c>
      <c r="C166" s="2" t="s">
        <v>134</v>
      </c>
      <c r="D166" s="2" t="s">
        <v>235</v>
      </c>
      <c r="E166" s="3">
        <v>45952.281782407408</v>
      </c>
      <c r="F166" s="3">
        <v>45952.286643518521</v>
      </c>
      <c r="G166" s="3">
        <v>45952.308171296303</v>
      </c>
      <c r="H166" s="3">
        <v>45952.340618368064</v>
      </c>
      <c r="I166" s="4">
        <v>0.78</v>
      </c>
      <c r="J166" s="2">
        <v>1</v>
      </c>
      <c r="K166" s="2" t="s">
        <v>49</v>
      </c>
      <c r="L166" s="2" t="s">
        <v>157</v>
      </c>
      <c r="M166" s="2" t="s">
        <v>158</v>
      </c>
      <c r="N166" s="2" t="s">
        <v>159</v>
      </c>
      <c r="O166" s="2" t="s">
        <v>160</v>
      </c>
      <c r="P166" s="2" t="s">
        <v>161</v>
      </c>
      <c r="Q166" s="2" t="s">
        <v>162</v>
      </c>
      <c r="R166" s="2">
        <v>0</v>
      </c>
      <c r="S166" s="2" t="s">
        <v>639</v>
      </c>
      <c r="T166" s="2" t="s">
        <v>220</v>
      </c>
      <c r="U166" s="2" t="s">
        <v>40</v>
      </c>
      <c r="V166" s="2" t="s">
        <v>41</v>
      </c>
      <c r="W166" s="2" t="s">
        <v>42</v>
      </c>
      <c r="X166" s="2" t="s">
        <v>165</v>
      </c>
      <c r="Y166" s="2" t="s">
        <v>41</v>
      </c>
      <c r="Z166" s="2" t="s">
        <v>166</v>
      </c>
      <c r="AA166" s="2" t="s">
        <v>456</v>
      </c>
    </row>
    <row r="167" spans="1:27" x14ac:dyDescent="0.35">
      <c r="A167" s="2" t="s">
        <v>27</v>
      </c>
      <c r="B167" s="2" t="s">
        <v>640</v>
      </c>
      <c r="C167" s="2" t="s">
        <v>121</v>
      </c>
      <c r="D167" s="2" t="s">
        <v>30</v>
      </c>
      <c r="E167" s="3">
        <v>45954.204201388893</v>
      </c>
      <c r="F167" s="3">
        <v>45954.214618055557</v>
      </c>
      <c r="G167" s="3">
        <v>45954.273645833331</v>
      </c>
      <c r="H167" s="3">
        <v>45954.789893449073</v>
      </c>
      <c r="I167" s="4">
        <v>12.39</v>
      </c>
      <c r="J167" s="2">
        <v>0</v>
      </c>
      <c r="K167" s="2" t="s">
        <v>31</v>
      </c>
      <c r="L167" s="2" t="s">
        <v>525</v>
      </c>
      <c r="M167" s="2" t="s">
        <v>526</v>
      </c>
      <c r="N167" s="2" t="s">
        <v>52</v>
      </c>
      <c r="O167" s="2" t="s">
        <v>53</v>
      </c>
      <c r="P167" s="2" t="s">
        <v>130</v>
      </c>
      <c r="Q167" s="2" t="s">
        <v>55</v>
      </c>
      <c r="R167" s="2">
        <v>1</v>
      </c>
      <c r="S167" s="2" t="s">
        <v>641</v>
      </c>
      <c r="T167" s="2" t="s">
        <v>164</v>
      </c>
      <c r="U167" s="2" t="s">
        <v>40</v>
      </c>
      <c r="V167" s="2" t="s">
        <v>41</v>
      </c>
      <c r="W167" s="2" t="s">
        <v>107</v>
      </c>
      <c r="X167" s="2" t="s">
        <v>139</v>
      </c>
      <c r="Y167" s="2" t="s">
        <v>41</v>
      </c>
      <c r="Z167" s="2" t="s">
        <v>59</v>
      </c>
      <c r="AA167" s="2" t="s">
        <v>228</v>
      </c>
    </row>
    <row r="168" spans="1:27" x14ac:dyDescent="0.35">
      <c r="A168" s="2" t="s">
        <v>27</v>
      </c>
      <c r="B168" s="2" t="s">
        <v>642</v>
      </c>
      <c r="C168" s="2" t="s">
        <v>643</v>
      </c>
      <c r="D168" s="2" t="s">
        <v>30</v>
      </c>
      <c r="E168" s="3">
        <v>45959.736388888887</v>
      </c>
      <c r="F168" s="3">
        <v>45959.765555555547</v>
      </c>
      <c r="G168" s="3">
        <v>45959.803749999999</v>
      </c>
      <c r="H168" s="3">
        <v>45960.030998321759</v>
      </c>
      <c r="I168" s="4">
        <v>5.45</v>
      </c>
      <c r="J168" s="2">
        <v>0</v>
      </c>
      <c r="K168" s="2" t="s">
        <v>31</v>
      </c>
      <c r="L168" s="2" t="s">
        <v>147</v>
      </c>
      <c r="M168" s="2" t="s">
        <v>148</v>
      </c>
      <c r="N168" s="2" t="s">
        <v>66</v>
      </c>
      <c r="O168" s="2" t="s">
        <v>67</v>
      </c>
      <c r="P168" s="2" t="s">
        <v>54</v>
      </c>
      <c r="Q168" s="2" t="s">
        <v>55</v>
      </c>
      <c r="R168" s="2">
        <v>0</v>
      </c>
      <c r="S168" s="2" t="s">
        <v>644</v>
      </c>
      <c r="T168" s="2" t="s">
        <v>132</v>
      </c>
      <c r="U168" s="2" t="s">
        <v>40</v>
      </c>
      <c r="V168" s="2" t="s">
        <v>106</v>
      </c>
      <c r="W168" s="2" t="s">
        <v>99</v>
      </c>
      <c r="X168" s="2" t="s">
        <v>41</v>
      </c>
      <c r="Y168" s="2" t="s">
        <v>71</v>
      </c>
      <c r="Z168" s="2" t="s">
        <v>59</v>
      </c>
      <c r="AA168" s="2" t="s">
        <v>150</v>
      </c>
    </row>
    <row r="169" spans="1:27" x14ac:dyDescent="0.35">
      <c r="A169" s="2" t="s">
        <v>27</v>
      </c>
      <c r="B169" s="2" t="s">
        <v>645</v>
      </c>
      <c r="C169" s="2" t="s">
        <v>372</v>
      </c>
      <c r="D169" s="2" t="s">
        <v>30</v>
      </c>
      <c r="E169" s="3">
        <v>45967.567141203697</v>
      </c>
      <c r="F169" s="3">
        <v>45967.575474537043</v>
      </c>
      <c r="G169" s="3">
        <v>45967.609502314823</v>
      </c>
      <c r="H169" s="3">
        <v>45968.133951979173</v>
      </c>
      <c r="I169" s="4">
        <v>12.59</v>
      </c>
      <c r="J169" s="2">
        <v>0</v>
      </c>
      <c r="K169" s="2" t="s">
        <v>96</v>
      </c>
      <c r="L169" s="2" t="s">
        <v>525</v>
      </c>
      <c r="M169" s="2" t="s">
        <v>526</v>
      </c>
      <c r="N169" s="2" t="s">
        <v>193</v>
      </c>
      <c r="O169" s="2" t="s">
        <v>67</v>
      </c>
      <c r="P169" s="2" t="s">
        <v>78</v>
      </c>
      <c r="Q169" s="2" t="s">
        <v>79</v>
      </c>
      <c r="R169" s="2">
        <v>1</v>
      </c>
      <c r="S169" s="2" t="s">
        <v>646</v>
      </c>
      <c r="T169" s="2" t="s">
        <v>313</v>
      </c>
      <c r="U169" s="2" t="s">
        <v>117</v>
      </c>
      <c r="V169" s="2" t="s">
        <v>41</v>
      </c>
      <c r="W169" s="2" t="s">
        <v>58</v>
      </c>
      <c r="X169" s="2" t="s">
        <v>139</v>
      </c>
      <c r="Y169" s="2" t="s">
        <v>71</v>
      </c>
      <c r="Z169" s="2" t="s">
        <v>82</v>
      </c>
      <c r="AA169" s="2" t="s">
        <v>647</v>
      </c>
    </row>
    <row r="170" spans="1:27" x14ac:dyDescent="0.35">
      <c r="A170" s="2" t="s">
        <v>27</v>
      </c>
      <c r="B170" s="2" t="s">
        <v>648</v>
      </c>
      <c r="C170" s="2" t="s">
        <v>262</v>
      </c>
      <c r="D170" s="2" t="s">
        <v>30</v>
      </c>
      <c r="E170" s="3">
        <v>45971.803159722222</v>
      </c>
      <c r="F170" s="3">
        <v>45971.817048611112</v>
      </c>
      <c r="G170" s="3">
        <v>45971.846215277779</v>
      </c>
      <c r="H170" s="3">
        <v>45971.876665219897</v>
      </c>
      <c r="I170" s="4">
        <v>0.73</v>
      </c>
      <c r="J170" s="2">
        <v>0</v>
      </c>
      <c r="K170" s="2" t="s">
        <v>49</v>
      </c>
      <c r="L170" s="2" t="s">
        <v>191</v>
      </c>
      <c r="M170" s="2" t="s">
        <v>192</v>
      </c>
      <c r="N170" s="2" t="s">
        <v>77</v>
      </c>
      <c r="O170" s="2" t="s">
        <v>35</v>
      </c>
      <c r="P170" s="2" t="s">
        <v>78</v>
      </c>
      <c r="Q170" s="2" t="s">
        <v>79</v>
      </c>
      <c r="R170" s="2">
        <v>0</v>
      </c>
      <c r="S170" s="2" t="s">
        <v>649</v>
      </c>
      <c r="T170" s="2" t="s">
        <v>39</v>
      </c>
      <c r="U170" s="2" t="s">
        <v>70</v>
      </c>
      <c r="V170" s="2" t="s">
        <v>41</v>
      </c>
      <c r="W170" s="2" t="s">
        <v>81</v>
      </c>
      <c r="X170" s="2" t="s">
        <v>41</v>
      </c>
      <c r="Y170" s="2" t="s">
        <v>44</v>
      </c>
      <c r="Z170" s="2" t="s">
        <v>82</v>
      </c>
      <c r="AA170" s="2" t="s">
        <v>83</v>
      </c>
    </row>
    <row r="171" spans="1:27" x14ac:dyDescent="0.35">
      <c r="A171" s="2" t="s">
        <v>27</v>
      </c>
      <c r="B171" s="2" t="s">
        <v>650</v>
      </c>
      <c r="C171" s="2" t="s">
        <v>405</v>
      </c>
      <c r="D171" s="2" t="s">
        <v>235</v>
      </c>
      <c r="E171" s="3">
        <v>45974.826319444437</v>
      </c>
      <c r="F171" s="3">
        <v>45974.856874999998</v>
      </c>
      <c r="G171" s="3">
        <v>45974.922152777777</v>
      </c>
      <c r="H171" s="3">
        <v>45975.11834144676</v>
      </c>
      <c r="I171" s="4">
        <v>4.71</v>
      </c>
      <c r="J171" s="2">
        <v>0</v>
      </c>
      <c r="K171" s="2" t="s">
        <v>31</v>
      </c>
      <c r="L171" s="2" t="s">
        <v>182</v>
      </c>
      <c r="M171" s="2" t="s">
        <v>183</v>
      </c>
      <c r="N171" s="2" t="s">
        <v>159</v>
      </c>
      <c r="O171" s="2" t="s">
        <v>160</v>
      </c>
      <c r="P171" s="2" t="s">
        <v>113</v>
      </c>
      <c r="Q171" s="2" t="s">
        <v>114</v>
      </c>
      <c r="R171" s="2">
        <v>1</v>
      </c>
      <c r="S171" s="2" t="s">
        <v>651</v>
      </c>
      <c r="T171" s="2" t="s">
        <v>164</v>
      </c>
      <c r="U171" s="2" t="s">
        <v>40</v>
      </c>
      <c r="V171" s="2" t="s">
        <v>106</v>
      </c>
      <c r="W171" s="2" t="s">
        <v>107</v>
      </c>
      <c r="X171" s="2" t="s">
        <v>41</v>
      </c>
      <c r="Y171" s="2" t="s">
        <v>41</v>
      </c>
      <c r="Z171" s="2" t="s">
        <v>118</v>
      </c>
      <c r="AA171" s="2" t="s">
        <v>652</v>
      </c>
    </row>
    <row r="172" spans="1:27" x14ac:dyDescent="0.35">
      <c r="A172" s="2" t="s">
        <v>27</v>
      </c>
      <c r="B172" s="2" t="s">
        <v>653</v>
      </c>
      <c r="C172" s="2" t="s">
        <v>169</v>
      </c>
      <c r="D172" s="2" t="s">
        <v>63</v>
      </c>
      <c r="E172" s="3">
        <v>45985.473819444444</v>
      </c>
      <c r="F172" s="3">
        <v>45985.492569444446</v>
      </c>
      <c r="G172" s="3">
        <v>45985.521736111114</v>
      </c>
      <c r="H172" s="3">
        <v>45985.953156053241</v>
      </c>
      <c r="I172" s="4">
        <v>10.35</v>
      </c>
      <c r="J172" s="2">
        <v>0</v>
      </c>
      <c r="K172" s="2" t="s">
        <v>31</v>
      </c>
      <c r="L172" s="2" t="s">
        <v>147</v>
      </c>
      <c r="M172" s="2" t="s">
        <v>148</v>
      </c>
      <c r="N172" s="2" t="s">
        <v>66</v>
      </c>
      <c r="O172" s="2" t="s">
        <v>67</v>
      </c>
      <c r="P172" s="2" t="s">
        <v>54</v>
      </c>
      <c r="Q172" s="2" t="s">
        <v>55</v>
      </c>
      <c r="R172" s="2">
        <v>1</v>
      </c>
      <c r="S172" s="2" t="s">
        <v>654</v>
      </c>
      <c r="T172" s="2" t="s">
        <v>98</v>
      </c>
      <c r="U172" s="2" t="s">
        <v>40</v>
      </c>
      <c r="V172" s="2" t="s">
        <v>106</v>
      </c>
      <c r="W172" s="2" t="s">
        <v>42</v>
      </c>
      <c r="X172" s="2" t="s">
        <v>41</v>
      </c>
      <c r="Y172" s="2" t="s">
        <v>71</v>
      </c>
      <c r="Z172" s="2" t="s">
        <v>59</v>
      </c>
      <c r="AA172" s="2" t="s">
        <v>123</v>
      </c>
    </row>
    <row r="173" spans="1:27" x14ac:dyDescent="0.35">
      <c r="A173" s="2" t="s">
        <v>27</v>
      </c>
      <c r="B173" s="2" t="s">
        <v>655</v>
      </c>
      <c r="C173" s="2" t="s">
        <v>178</v>
      </c>
      <c r="D173" s="2" t="s">
        <v>235</v>
      </c>
      <c r="E173" s="3">
        <v>45988.214733796303</v>
      </c>
      <c r="F173" s="3"/>
      <c r="G173" s="3">
        <v>45988.243206018517</v>
      </c>
      <c r="H173" s="3">
        <v>45988.37754292824</v>
      </c>
      <c r="I173" s="4">
        <v>3.22</v>
      </c>
      <c r="J173" s="2">
        <v>0</v>
      </c>
      <c r="K173" s="2" t="s">
        <v>49</v>
      </c>
      <c r="L173" s="2" t="s">
        <v>111</v>
      </c>
      <c r="M173" s="2" t="s">
        <v>112</v>
      </c>
      <c r="N173" s="2" t="s">
        <v>66</v>
      </c>
      <c r="O173" s="2" t="s">
        <v>67</v>
      </c>
      <c r="P173" s="2" t="s">
        <v>88</v>
      </c>
      <c r="Q173" s="2" t="s">
        <v>55</v>
      </c>
      <c r="R173" s="2">
        <v>1</v>
      </c>
      <c r="S173" s="2" t="s">
        <v>656</v>
      </c>
      <c r="T173" s="2" t="s">
        <v>138</v>
      </c>
      <c r="U173" s="2" t="s">
        <v>40</v>
      </c>
      <c r="V173" s="2" t="s">
        <v>41</v>
      </c>
      <c r="W173" s="2" t="s">
        <v>99</v>
      </c>
      <c r="X173" s="2" t="s">
        <v>41</v>
      </c>
      <c r="Y173" s="2" t="s">
        <v>71</v>
      </c>
      <c r="Z173" s="2" t="s">
        <v>59</v>
      </c>
      <c r="AA173" s="2" t="s">
        <v>412</v>
      </c>
    </row>
    <row r="174" spans="1:27" x14ac:dyDescent="0.35">
      <c r="A174" s="2" t="s">
        <v>27</v>
      </c>
      <c r="B174" s="2" t="s">
        <v>657</v>
      </c>
      <c r="C174" s="2" t="s">
        <v>178</v>
      </c>
      <c r="D174" s="2" t="s">
        <v>30</v>
      </c>
      <c r="E174" s="3">
        <v>45988.255787037036</v>
      </c>
      <c r="F174" s="3">
        <v>45988.257175925923</v>
      </c>
      <c r="G174" s="3">
        <v>45988.278009259258</v>
      </c>
      <c r="H174" s="3">
        <v>45988.305802222218</v>
      </c>
      <c r="I174" s="4">
        <v>0.67</v>
      </c>
      <c r="J174" s="2">
        <v>0</v>
      </c>
      <c r="K174" s="2" t="s">
        <v>49</v>
      </c>
      <c r="L174" s="2" t="s">
        <v>157</v>
      </c>
      <c r="M174" s="2" t="s">
        <v>158</v>
      </c>
      <c r="N174" s="2" t="s">
        <v>159</v>
      </c>
      <c r="O174" s="2" t="s">
        <v>160</v>
      </c>
      <c r="P174" s="2" t="s">
        <v>161</v>
      </c>
      <c r="Q174" s="2" t="s">
        <v>162</v>
      </c>
      <c r="R174" s="2">
        <v>0</v>
      </c>
      <c r="S174" s="2" t="s">
        <v>658</v>
      </c>
      <c r="T174" s="2" t="s">
        <v>116</v>
      </c>
      <c r="U174" s="2" t="s">
        <v>117</v>
      </c>
      <c r="V174" s="2" t="s">
        <v>41</v>
      </c>
      <c r="W174" s="2" t="s">
        <v>99</v>
      </c>
      <c r="X174" s="2" t="s">
        <v>165</v>
      </c>
      <c r="Y174" s="2" t="s">
        <v>41</v>
      </c>
      <c r="Z174" s="2" t="s">
        <v>166</v>
      </c>
      <c r="AA174" s="2" t="s">
        <v>368</v>
      </c>
    </row>
    <row r="175" spans="1:27" x14ac:dyDescent="0.35">
      <c r="A175" s="2" t="s">
        <v>27</v>
      </c>
      <c r="B175" s="2" t="s">
        <v>659</v>
      </c>
      <c r="C175" s="2" t="s">
        <v>381</v>
      </c>
      <c r="D175" s="2" t="s">
        <v>30</v>
      </c>
      <c r="E175" s="3">
        <v>45989.86241898148</v>
      </c>
      <c r="F175" s="3">
        <v>45989.880474537043</v>
      </c>
      <c r="G175" s="3">
        <v>45989.89366898148</v>
      </c>
      <c r="H175" s="3">
        <v>45990.297074062502</v>
      </c>
      <c r="I175" s="4">
        <v>9.68</v>
      </c>
      <c r="J175" s="2">
        <v>0</v>
      </c>
      <c r="K175" s="2" t="s">
        <v>31</v>
      </c>
      <c r="L175" s="2" t="s">
        <v>324</v>
      </c>
      <c r="M175" s="2" t="s">
        <v>325</v>
      </c>
      <c r="N175" s="2" t="s">
        <v>77</v>
      </c>
      <c r="O175" s="2" t="s">
        <v>35</v>
      </c>
      <c r="P175" s="2" t="s">
        <v>194</v>
      </c>
      <c r="Q175" s="2" t="s">
        <v>79</v>
      </c>
      <c r="R175" s="2">
        <v>1</v>
      </c>
      <c r="S175" s="2" t="s">
        <v>660</v>
      </c>
      <c r="T175" s="2" t="s">
        <v>138</v>
      </c>
      <c r="U175" s="2" t="s">
        <v>40</v>
      </c>
      <c r="V175" s="2" t="s">
        <v>41</v>
      </c>
      <c r="W175" s="2" t="s">
        <v>99</v>
      </c>
      <c r="X175" s="2" t="s">
        <v>43</v>
      </c>
      <c r="Y175" s="2" t="s">
        <v>44</v>
      </c>
      <c r="Z175" s="2" t="s">
        <v>82</v>
      </c>
      <c r="AA175" s="2" t="s">
        <v>661</v>
      </c>
    </row>
    <row r="176" spans="1:27" x14ac:dyDescent="0.35">
      <c r="A176" s="2" t="s">
        <v>27</v>
      </c>
      <c r="B176" s="2" t="s">
        <v>662</v>
      </c>
      <c r="C176" s="2" t="s">
        <v>29</v>
      </c>
      <c r="D176" s="2" t="s">
        <v>30</v>
      </c>
      <c r="E176" s="3">
        <v>45995.018368055556</v>
      </c>
      <c r="F176" s="3">
        <v>45995.029479166667</v>
      </c>
      <c r="G176" s="3">
        <v>45995.104479166657</v>
      </c>
      <c r="H176" s="3">
        <v>45995.280949965279</v>
      </c>
      <c r="I176" s="4">
        <v>4.24</v>
      </c>
      <c r="J176" s="2">
        <v>1</v>
      </c>
      <c r="K176" s="2" t="s">
        <v>49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113</v>
      </c>
      <c r="Q176" s="2" t="s">
        <v>114</v>
      </c>
      <c r="R176" s="2">
        <v>1</v>
      </c>
      <c r="S176" s="2" t="s">
        <v>663</v>
      </c>
      <c r="T176" s="2" t="s">
        <v>69</v>
      </c>
      <c r="U176" s="2" t="s">
        <v>70</v>
      </c>
      <c r="V176" s="2" t="s">
        <v>41</v>
      </c>
      <c r="W176" s="2" t="s">
        <v>42</v>
      </c>
      <c r="X176" s="2" t="s">
        <v>43</v>
      </c>
      <c r="Y176" s="2" t="s">
        <v>44</v>
      </c>
      <c r="Z176" s="2" t="s">
        <v>118</v>
      </c>
      <c r="AA176" s="2" t="s">
        <v>664</v>
      </c>
    </row>
    <row r="177" spans="1:27" x14ac:dyDescent="0.35">
      <c r="A177" s="2" t="s">
        <v>27</v>
      </c>
      <c r="B177" s="2" t="s">
        <v>665</v>
      </c>
      <c r="C177" s="2" t="s">
        <v>234</v>
      </c>
      <c r="D177" s="2" t="s">
        <v>63</v>
      </c>
      <c r="E177" s="3">
        <v>45996.953217592592</v>
      </c>
      <c r="F177" s="3">
        <v>45996.962939814817</v>
      </c>
      <c r="G177" s="3">
        <v>45996.968495370369</v>
      </c>
      <c r="H177" s="3">
        <v>45997.04305291667</v>
      </c>
      <c r="I177" s="4">
        <v>1.79</v>
      </c>
      <c r="J177" s="2">
        <v>0</v>
      </c>
      <c r="K177" s="2" t="s">
        <v>49</v>
      </c>
      <c r="L177" s="2" t="s">
        <v>135</v>
      </c>
      <c r="M177" s="2" t="s">
        <v>136</v>
      </c>
      <c r="N177" s="2" t="s">
        <v>77</v>
      </c>
      <c r="O177" s="2" t="s">
        <v>35</v>
      </c>
      <c r="P177" s="2" t="s">
        <v>194</v>
      </c>
      <c r="Q177" s="2" t="s">
        <v>79</v>
      </c>
      <c r="R177" s="2">
        <v>1</v>
      </c>
      <c r="S177" s="2" t="s">
        <v>666</v>
      </c>
      <c r="T177" s="2" t="s">
        <v>39</v>
      </c>
      <c r="U177" s="2" t="s">
        <v>70</v>
      </c>
      <c r="V177" s="2" t="s">
        <v>41</v>
      </c>
      <c r="W177" s="2" t="s">
        <v>58</v>
      </c>
      <c r="X177" s="2" t="s">
        <v>139</v>
      </c>
      <c r="Y177" s="2" t="s">
        <v>44</v>
      </c>
      <c r="Z177" s="2" t="s">
        <v>82</v>
      </c>
      <c r="AA177" s="2" t="s">
        <v>667</v>
      </c>
    </row>
    <row r="178" spans="1:27" x14ac:dyDescent="0.35">
      <c r="A178" s="2" t="s">
        <v>27</v>
      </c>
      <c r="B178" s="2" t="s">
        <v>668</v>
      </c>
      <c r="C178" s="2" t="s">
        <v>319</v>
      </c>
      <c r="D178" s="2" t="s">
        <v>30</v>
      </c>
      <c r="E178" s="3">
        <v>46002.315555555557</v>
      </c>
      <c r="F178" s="3">
        <v>46002.319027777783</v>
      </c>
      <c r="G178" s="3">
        <v>46002.376666666663</v>
      </c>
      <c r="H178" s="3">
        <v>46002.431059560193</v>
      </c>
      <c r="I178" s="4">
        <v>1.31</v>
      </c>
      <c r="J178" s="2">
        <v>0</v>
      </c>
      <c r="K178" s="2" t="s">
        <v>31</v>
      </c>
      <c r="L178" s="2" t="s">
        <v>256</v>
      </c>
      <c r="M178" s="2" t="s">
        <v>257</v>
      </c>
      <c r="N178" s="2" t="s">
        <v>34</v>
      </c>
      <c r="O178" s="2" t="s">
        <v>35</v>
      </c>
      <c r="P178" s="2" t="s">
        <v>36</v>
      </c>
      <c r="Q178" s="2" t="s">
        <v>37</v>
      </c>
      <c r="R178" s="2">
        <v>1</v>
      </c>
      <c r="S178" s="2" t="s">
        <v>669</v>
      </c>
      <c r="T178" s="2" t="s">
        <v>132</v>
      </c>
      <c r="U178" s="2" t="s">
        <v>40</v>
      </c>
      <c r="V178" s="2" t="s">
        <v>259</v>
      </c>
      <c r="W178" s="2" t="s">
        <v>107</v>
      </c>
      <c r="X178" s="2" t="s">
        <v>41</v>
      </c>
      <c r="Y178" s="2" t="s">
        <v>44</v>
      </c>
      <c r="Z178" s="2" t="s">
        <v>45</v>
      </c>
      <c r="AA178" s="2" t="s">
        <v>670</v>
      </c>
    </row>
    <row r="179" spans="1:27" x14ac:dyDescent="0.35">
      <c r="A179" s="2" t="s">
        <v>27</v>
      </c>
      <c r="B179" s="2" t="s">
        <v>671</v>
      </c>
      <c r="C179" s="2" t="s">
        <v>319</v>
      </c>
      <c r="D179" s="2" t="s">
        <v>30</v>
      </c>
      <c r="E179" s="3">
        <v>46016.009328703702</v>
      </c>
      <c r="F179" s="3">
        <v>46016.045439814807</v>
      </c>
      <c r="G179" s="3">
        <v>46016.104467592602</v>
      </c>
      <c r="H179" s="3">
        <v>46016.152985162043</v>
      </c>
      <c r="I179" s="4">
        <v>1.1599999999999999</v>
      </c>
      <c r="J179" s="2">
        <v>0</v>
      </c>
      <c r="K179" s="2" t="s">
        <v>49</v>
      </c>
      <c r="L179" s="2" t="s">
        <v>32</v>
      </c>
      <c r="M179" s="2" t="s">
        <v>33</v>
      </c>
      <c r="N179" s="2" t="s">
        <v>184</v>
      </c>
      <c r="O179" s="2" t="s">
        <v>185</v>
      </c>
      <c r="P179" s="2" t="s">
        <v>113</v>
      </c>
      <c r="Q179" s="2" t="s">
        <v>114</v>
      </c>
      <c r="R179" s="2">
        <v>1</v>
      </c>
      <c r="S179" s="2" t="s">
        <v>672</v>
      </c>
      <c r="T179" s="2" t="s">
        <v>285</v>
      </c>
      <c r="U179" s="2" t="s">
        <v>117</v>
      </c>
      <c r="V179" s="2" t="s">
        <v>41</v>
      </c>
      <c r="W179" s="2" t="s">
        <v>99</v>
      </c>
      <c r="X179" s="2" t="s">
        <v>43</v>
      </c>
      <c r="Y179" s="2" t="s">
        <v>187</v>
      </c>
      <c r="Z179" s="2" t="s">
        <v>118</v>
      </c>
      <c r="AA179" s="2" t="s">
        <v>673</v>
      </c>
    </row>
    <row r="180" spans="1:27" x14ac:dyDescent="0.35">
      <c r="A180" s="2" t="s">
        <v>27</v>
      </c>
      <c r="B180" s="2" t="s">
        <v>674</v>
      </c>
      <c r="C180" s="2" t="s">
        <v>491</v>
      </c>
      <c r="D180" s="2" t="s">
        <v>235</v>
      </c>
      <c r="E180" s="3">
        <v>46016.617939814823</v>
      </c>
      <c r="F180" s="3">
        <v>46016.642245370371</v>
      </c>
      <c r="G180" s="3">
        <v>46016.66238425926</v>
      </c>
      <c r="H180" s="3">
        <v>46016.782678831019</v>
      </c>
      <c r="I180" s="4">
        <v>2.89</v>
      </c>
      <c r="J180" s="2">
        <v>0</v>
      </c>
      <c r="K180" s="2" t="s">
        <v>49</v>
      </c>
      <c r="L180" s="2" t="s">
        <v>400</v>
      </c>
      <c r="M180" s="2" t="s">
        <v>401</v>
      </c>
      <c r="N180" s="2" t="s">
        <v>34</v>
      </c>
      <c r="O180" s="2" t="s">
        <v>35</v>
      </c>
      <c r="P180" s="2" t="s">
        <v>113</v>
      </c>
      <c r="Q180" s="2" t="s">
        <v>114</v>
      </c>
      <c r="R180" s="2">
        <v>0</v>
      </c>
      <c r="S180" s="2" t="s">
        <v>675</v>
      </c>
      <c r="T180" s="2" t="s">
        <v>138</v>
      </c>
      <c r="U180" s="2" t="s">
        <v>40</v>
      </c>
      <c r="V180" s="2" t="s">
        <v>41</v>
      </c>
      <c r="W180" s="2" t="s">
        <v>81</v>
      </c>
      <c r="X180" s="2" t="s">
        <v>41</v>
      </c>
      <c r="Y180" s="2" t="s">
        <v>44</v>
      </c>
      <c r="Z180" s="2" t="s">
        <v>118</v>
      </c>
      <c r="AA180" s="2" t="s">
        <v>676</v>
      </c>
    </row>
    <row r="181" spans="1:27" x14ac:dyDescent="0.35">
      <c r="A181" s="2" t="s">
        <v>27</v>
      </c>
      <c r="B181" s="2" t="s">
        <v>677</v>
      </c>
      <c r="C181" s="2" t="s">
        <v>678</v>
      </c>
      <c r="D181" s="2" t="s">
        <v>30</v>
      </c>
      <c r="E181" s="3">
        <v>46022.323842592603</v>
      </c>
      <c r="F181" s="3">
        <v>46022.340509259258</v>
      </c>
      <c r="G181" s="3">
        <v>46022.359259259261</v>
      </c>
      <c r="H181" s="3">
        <v>46022.552869097221</v>
      </c>
      <c r="I181" s="4">
        <v>4.6500000000000004</v>
      </c>
      <c r="J181" s="2">
        <v>0</v>
      </c>
      <c r="K181" s="2" t="s">
        <v>31</v>
      </c>
      <c r="L181" s="2" t="s">
        <v>269</v>
      </c>
      <c r="M181" s="2" t="s">
        <v>270</v>
      </c>
      <c r="N181" s="2" t="s">
        <v>128</v>
      </c>
      <c r="O181" s="2" t="s">
        <v>129</v>
      </c>
      <c r="P181" s="2" t="s">
        <v>161</v>
      </c>
      <c r="Q181" s="2" t="s">
        <v>162</v>
      </c>
      <c r="R181" s="2">
        <v>0</v>
      </c>
      <c r="S181" s="2" t="s">
        <v>679</v>
      </c>
      <c r="T181" s="2" t="s">
        <v>132</v>
      </c>
      <c r="U181" s="2" t="s">
        <v>40</v>
      </c>
      <c r="V181" s="2" t="s">
        <v>272</v>
      </c>
      <c r="W181" s="2" t="s">
        <v>107</v>
      </c>
      <c r="X181" s="2" t="s">
        <v>41</v>
      </c>
      <c r="Y181" s="2" t="s">
        <v>41</v>
      </c>
      <c r="Z181" s="2" t="s">
        <v>166</v>
      </c>
      <c r="AA181" s="2" t="s">
        <v>680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6"/>
  <sheetViews>
    <sheetView showGridLines="0" tabSelected="1" workbookViewId="0">
      <pane ySplit="8" topLeftCell="A9" activePane="bottomLeft" state="frozen"/>
      <selection pane="bottomLeft" activeCell="C14" sqref="C14"/>
    </sheetView>
  </sheetViews>
  <sheetFormatPr defaultRowHeight="14.5" x14ac:dyDescent="0.35"/>
  <cols>
    <col min="1" max="1" width="22" bestFit="1" customWidth="1"/>
    <col min="2" max="3" width="20" customWidth="1"/>
    <col min="4" max="4" width="22" customWidth="1"/>
    <col min="5" max="5" width="13" customWidth="1"/>
    <col min="6" max="6" width="16" customWidth="1"/>
    <col min="7" max="7" width="20" customWidth="1"/>
    <col min="8" max="11" width="16" customWidth="1"/>
  </cols>
  <sheetData>
    <row r="1" spans="1:11" ht="18.5" x14ac:dyDescent="0.45">
      <c r="A1" s="17" t="s">
        <v>681</v>
      </c>
      <c r="B1" s="14"/>
      <c r="C1" s="14"/>
      <c r="D1" s="14"/>
      <c r="E1" s="14"/>
      <c r="F1" s="14"/>
      <c r="G1" s="14"/>
      <c r="H1" s="14"/>
    </row>
    <row r="3" spans="1:11" x14ac:dyDescent="0.35">
      <c r="A3" s="5" t="s">
        <v>682</v>
      </c>
    </row>
    <row r="4" spans="1:11" x14ac:dyDescent="0.35">
      <c r="A4" s="6" t="s">
        <v>26</v>
      </c>
      <c r="B4" s="7" t="s">
        <v>294</v>
      </c>
      <c r="D4" s="16" t="s">
        <v>683</v>
      </c>
      <c r="E4" s="14"/>
      <c r="F4" s="14"/>
      <c r="G4" s="14"/>
      <c r="H4" s="14"/>
    </row>
    <row r="5" spans="1:11" x14ac:dyDescent="0.35">
      <c r="A5" s="6" t="s">
        <v>684</v>
      </c>
      <c r="B5" s="7">
        <v>0</v>
      </c>
      <c r="D5" s="14"/>
      <c r="E5" s="14"/>
      <c r="F5" s="14"/>
      <c r="G5" s="14"/>
      <c r="H5" s="14"/>
    </row>
    <row r="6" spans="1:11" x14ac:dyDescent="0.35">
      <c r="A6" s="6" t="s">
        <v>685</v>
      </c>
      <c r="B6" s="7" t="s">
        <v>70</v>
      </c>
      <c r="D6" s="14"/>
      <c r="E6" s="14"/>
      <c r="F6" s="14"/>
      <c r="G6" s="14"/>
      <c r="H6" s="14"/>
    </row>
    <row r="8" spans="1:11" x14ac:dyDescent="0.35">
      <c r="A8" s="1" t="s">
        <v>2</v>
      </c>
      <c r="B8" s="1" t="s">
        <v>4</v>
      </c>
      <c r="C8" s="1" t="s">
        <v>7</v>
      </c>
      <c r="D8" s="1" t="s">
        <v>26</v>
      </c>
      <c r="E8" s="1" t="s">
        <v>9</v>
      </c>
      <c r="F8" s="1" t="s">
        <v>20</v>
      </c>
      <c r="G8" s="1" t="s">
        <v>686</v>
      </c>
      <c r="H8" s="1" t="s">
        <v>687</v>
      </c>
      <c r="I8" s="1" t="s">
        <v>688</v>
      </c>
      <c r="J8" s="1" t="s">
        <v>689</v>
      </c>
      <c r="K8" s="1" t="s">
        <v>690</v>
      </c>
    </row>
    <row r="9" spans="1:11" x14ac:dyDescent="0.35">
      <c r="A9" s="2" t="s">
        <v>29</v>
      </c>
      <c r="B9" s="3">
        <v>45253.157581018517</v>
      </c>
      <c r="C9" s="3">
        <v>45253.410361423608</v>
      </c>
      <c r="D9" s="2" t="s">
        <v>294</v>
      </c>
      <c r="E9" s="2">
        <v>0</v>
      </c>
      <c r="F9" s="2" t="s">
        <v>40</v>
      </c>
      <c r="G9" s="2" t="str">
        <f>IF(A9=A8, C8, "")</f>
        <v/>
      </c>
      <c r="H9" s="4" t="str">
        <f>IF(G9="","",(B9-G9)*24)</f>
        <v/>
      </c>
      <c r="I9" s="2" t="str">
        <f>IF(H9="","",IF(H9&gt;0,1,0))</f>
        <v/>
      </c>
      <c r="J9" s="8" t="str">
        <f>IF(H9="","No prior event for this asset",IF(H9&lt;=0,"Invalid interval (check timestamps/duplicates)","OK"))</f>
        <v>No prior event for this asset</v>
      </c>
      <c r="K9" s="4" t="str">
        <f>IF(I9=1,H9,"")</f>
        <v/>
      </c>
    </row>
    <row r="10" spans="1:11" x14ac:dyDescent="0.35">
      <c r="A10" s="2" t="s">
        <v>48</v>
      </c>
      <c r="B10" s="3">
        <v>45679.743981481479</v>
      </c>
      <c r="C10" s="3">
        <v>45680.044651342592</v>
      </c>
      <c r="D10" s="2" t="s">
        <v>294</v>
      </c>
      <c r="E10" s="2">
        <v>0</v>
      </c>
      <c r="F10" s="2" t="s">
        <v>70</v>
      </c>
      <c r="G10" s="2" t="str">
        <f>IF(A10=A9, C9, "")</f>
        <v/>
      </c>
      <c r="H10" s="4" t="str">
        <f>IF(G10="","",(B10-G10)*24)</f>
        <v/>
      </c>
      <c r="I10" s="2" t="str">
        <f>IF(H10="","",IF(H10&gt;0,1,0))</f>
        <v/>
      </c>
      <c r="J10" s="8" t="str">
        <f>IF(H10="","No prior event for this asset",IF(H10&lt;=0,"Invalid interval (check timestamps/duplicates)","OK"))</f>
        <v>No prior event for this asset</v>
      </c>
      <c r="K10" s="4" t="str">
        <f>IF(I10=1,H10,"")</f>
        <v/>
      </c>
    </row>
    <row r="11" spans="1:11" x14ac:dyDescent="0.35">
      <c r="A11" s="2" t="s">
        <v>48</v>
      </c>
      <c r="B11" s="3">
        <v>45781.953101851846</v>
      </c>
      <c r="C11" s="3">
        <v>45782.297905914347</v>
      </c>
      <c r="D11" s="2" t="s">
        <v>294</v>
      </c>
      <c r="E11" s="2">
        <v>0</v>
      </c>
      <c r="F11" s="2" t="s">
        <v>70</v>
      </c>
      <c r="G11" s="3">
        <f>IF(A11=A10, C10, "")</f>
        <v>45680.044651342592</v>
      </c>
      <c r="H11" s="4">
        <f>IF(G11="","",(B11-G11)*24)</f>
        <v>2445.8028122221003</v>
      </c>
      <c r="I11" s="2">
        <f>IF(H11="","",IF(H11&gt;0,1,0))</f>
        <v>1</v>
      </c>
      <c r="J11" s="8" t="str">
        <f>IF(H11="","No prior event for this asset",IF(H11&lt;=0,"Invalid interval (check timestamps/duplicates)","OK"))</f>
        <v>OK</v>
      </c>
      <c r="K11" s="4">
        <f>IF(I11=1,H11,"")</f>
        <v>2445.8028122221003</v>
      </c>
    </row>
    <row r="12" spans="1:11" x14ac:dyDescent="0.35">
      <c r="A12" s="2" t="s">
        <v>48</v>
      </c>
      <c r="B12" s="3">
        <v>45937.699467592603</v>
      </c>
      <c r="C12" s="3">
        <v>45937.821330636572</v>
      </c>
      <c r="D12" s="2" t="s">
        <v>294</v>
      </c>
      <c r="E12" s="2">
        <v>0</v>
      </c>
      <c r="F12" s="2" t="s">
        <v>40</v>
      </c>
      <c r="G12" s="3">
        <f>IF(A12=A11, C11, "")</f>
        <v>45782.297905914347</v>
      </c>
      <c r="H12" s="4">
        <f>IF(G12="","",(B12-G12)*24)</f>
        <v>3729.6374802781502</v>
      </c>
      <c r="I12" s="2">
        <f>IF(H12="","",IF(H12&gt;0,1,0))</f>
        <v>1</v>
      </c>
      <c r="J12" s="8" t="str">
        <f>IF(H12="","No prior event for this asset",IF(H12&lt;=0,"Invalid interval (check timestamps/duplicates)","OK"))</f>
        <v>OK</v>
      </c>
      <c r="K12" s="4">
        <f>IF(I12=1,H12,"")</f>
        <v>3729.6374802781502</v>
      </c>
    </row>
    <row r="15" spans="1:11" x14ac:dyDescent="0.35">
      <c r="A15" s="15" t="s">
        <v>691</v>
      </c>
      <c r="B15" s="14"/>
      <c r="C15" s="14"/>
      <c r="D15" s="14"/>
      <c r="E15" s="14"/>
      <c r="F15" s="14"/>
    </row>
    <row r="16" spans="1:11" x14ac:dyDescent="0.35">
      <c r="A16" s="1" t="s">
        <v>687</v>
      </c>
      <c r="B16" s="1" t="s">
        <v>692</v>
      </c>
      <c r="C16" s="1" t="s">
        <v>693</v>
      </c>
      <c r="D16" s="1" t="s">
        <v>694</v>
      </c>
      <c r="E16" s="1" t="s">
        <v>695</v>
      </c>
      <c r="F16" s="1" t="s">
        <v>696</v>
      </c>
      <c r="H16" s="13" t="s">
        <v>697</v>
      </c>
      <c r="I16" s="14"/>
      <c r="J16" s="14"/>
      <c r="K16" s="14"/>
    </row>
    <row r="17" spans="1:9" x14ac:dyDescent="0.35">
      <c r="A17" s="4">
        <v>2445.8028122222199</v>
      </c>
      <c r="B17" s="2">
        <f t="shared" ref="B17:B48" si="0">IF(A17="","",ROW()-16)</f>
        <v>1</v>
      </c>
      <c r="C17" s="2">
        <f>COUNTA($A$17:$A$116)</f>
        <v>2</v>
      </c>
      <c r="D17" s="9">
        <f t="shared" ref="D17:D48" si="1">IF(A17="","",(B17-0.3)/(C17+0.4))</f>
        <v>0.29166666666666669</v>
      </c>
      <c r="E17" s="9">
        <f t="shared" ref="E17:E48" si="2">IF(A17="","",LN(A17))</f>
        <v>7.8021286965715273</v>
      </c>
      <c r="F17" s="9">
        <f t="shared" ref="F17:F48" si="3">IF(A17="","",LN(LN(1/(1-D17))))</f>
        <v>-1.0646733274461584</v>
      </c>
      <c r="H17" s="10" t="s">
        <v>698</v>
      </c>
      <c r="I17" s="11">
        <f>IF(C17&lt;2,"",SLOPE($F$17:INDEX($F:$F,(17-1)+C17), $E$17:INDEX($E:$E,(17-1)+C17)))</f>
        <v>3.0180499358102582</v>
      </c>
    </row>
    <row r="18" spans="1:9" x14ac:dyDescent="0.35">
      <c r="A18" s="4">
        <v>3729.6374802777782</v>
      </c>
      <c r="B18" s="2">
        <f>IF(A18="","",ROW()-16)</f>
        <v>2</v>
      </c>
      <c r="C18" s="2">
        <f>COUNTA($A$17:$A$116)</f>
        <v>2</v>
      </c>
      <c r="D18" s="9">
        <f t="shared" si="1"/>
        <v>0.70833333333333337</v>
      </c>
      <c r="E18" s="9">
        <f t="shared" si="2"/>
        <v>8.224066317640526</v>
      </c>
      <c r="F18" s="9">
        <f t="shared" si="3"/>
        <v>0.20875548273706629</v>
      </c>
      <c r="H18" s="10" t="s">
        <v>699</v>
      </c>
      <c r="I18" s="11">
        <f>IF(C17&lt;2,"",INTERCEPT($F$17:INDEX($F:$F,(17-1)+C17), $E$17:INDEX($E:$E,(17-1)+C17)))</f>
        <v>-24.611887339317228</v>
      </c>
    </row>
    <row r="19" spans="1:9" x14ac:dyDescent="0.35">
      <c r="A19" s="4"/>
      <c r="B19" s="2" t="str">
        <f t="shared" si="0"/>
        <v/>
      </c>
      <c r="C19" s="2">
        <f>COUNTA($A$17:$A$116)</f>
        <v>2</v>
      </c>
      <c r="D19" s="9" t="str">
        <f t="shared" si="1"/>
        <v/>
      </c>
      <c r="E19" s="9" t="str">
        <f t="shared" si="2"/>
        <v/>
      </c>
      <c r="F19" s="9" t="str">
        <f t="shared" si="3"/>
        <v/>
      </c>
      <c r="H19" s="10" t="s">
        <v>700</v>
      </c>
      <c r="I19" s="12">
        <f>IF(I17="","",EXP(-I18/I17))</f>
        <v>3480.3819484180649</v>
      </c>
    </row>
    <row r="20" spans="1:9" x14ac:dyDescent="0.35">
      <c r="A20" s="4"/>
      <c r="B20" s="2" t="str">
        <f t="shared" si="0"/>
        <v/>
      </c>
      <c r="C20" s="2">
        <f t="shared" ref="C17:C48" si="4">COUNTA($A$17:$A$116)</f>
        <v>2</v>
      </c>
      <c r="D20" s="9" t="str">
        <f t="shared" si="1"/>
        <v/>
      </c>
      <c r="E20" s="9" t="str">
        <f t="shared" si="2"/>
        <v/>
      </c>
      <c r="F20" s="9" t="str">
        <f t="shared" si="3"/>
        <v/>
      </c>
    </row>
    <row r="21" spans="1:9" x14ac:dyDescent="0.35">
      <c r="A21" s="4"/>
      <c r="B21" s="2" t="str">
        <f t="shared" si="0"/>
        <v/>
      </c>
      <c r="C21" s="2">
        <f t="shared" si="4"/>
        <v>2</v>
      </c>
      <c r="D21" s="9" t="str">
        <f t="shared" si="1"/>
        <v/>
      </c>
      <c r="E21" s="9" t="str">
        <f t="shared" si="2"/>
        <v/>
      </c>
      <c r="F21" s="9" t="str">
        <f t="shared" si="3"/>
        <v/>
      </c>
    </row>
    <row r="22" spans="1:9" x14ac:dyDescent="0.35">
      <c r="A22" s="4"/>
      <c r="B22" s="2" t="str">
        <f t="shared" si="0"/>
        <v/>
      </c>
      <c r="C22" s="2">
        <f t="shared" si="4"/>
        <v>2</v>
      </c>
      <c r="D22" s="9" t="str">
        <f t="shared" si="1"/>
        <v/>
      </c>
      <c r="E22" s="9" t="str">
        <f t="shared" si="2"/>
        <v/>
      </c>
      <c r="F22" s="9" t="str">
        <f t="shared" si="3"/>
        <v/>
      </c>
    </row>
    <row r="23" spans="1:9" x14ac:dyDescent="0.35">
      <c r="A23" s="4"/>
      <c r="B23" s="2" t="str">
        <f t="shared" si="0"/>
        <v/>
      </c>
      <c r="C23" s="2">
        <f t="shared" si="4"/>
        <v>2</v>
      </c>
      <c r="D23" s="9" t="str">
        <f t="shared" si="1"/>
        <v/>
      </c>
      <c r="E23" s="9" t="str">
        <f t="shared" si="2"/>
        <v/>
      </c>
      <c r="F23" s="9" t="str">
        <f t="shared" si="3"/>
        <v/>
      </c>
    </row>
    <row r="24" spans="1:9" x14ac:dyDescent="0.35">
      <c r="A24" s="4"/>
      <c r="B24" s="2" t="str">
        <f t="shared" si="0"/>
        <v/>
      </c>
      <c r="C24" s="2">
        <f t="shared" si="4"/>
        <v>2</v>
      </c>
      <c r="D24" s="9" t="str">
        <f t="shared" si="1"/>
        <v/>
      </c>
      <c r="E24" s="9" t="str">
        <f t="shared" si="2"/>
        <v/>
      </c>
      <c r="F24" s="9" t="str">
        <f t="shared" si="3"/>
        <v/>
      </c>
    </row>
    <row r="25" spans="1:9" x14ac:dyDescent="0.35">
      <c r="A25" s="4"/>
      <c r="B25" s="2" t="str">
        <f t="shared" si="0"/>
        <v/>
      </c>
      <c r="C25" s="2">
        <f t="shared" si="4"/>
        <v>2</v>
      </c>
      <c r="D25" s="9" t="str">
        <f t="shared" si="1"/>
        <v/>
      </c>
      <c r="E25" s="9" t="str">
        <f t="shared" si="2"/>
        <v/>
      </c>
      <c r="F25" s="9" t="str">
        <f t="shared" si="3"/>
        <v/>
      </c>
    </row>
    <row r="26" spans="1:9" x14ac:dyDescent="0.35">
      <c r="A26" s="4"/>
      <c r="B26" s="2" t="str">
        <f t="shared" si="0"/>
        <v/>
      </c>
      <c r="C26" s="2">
        <f t="shared" si="4"/>
        <v>2</v>
      </c>
      <c r="D26" s="9" t="str">
        <f t="shared" si="1"/>
        <v/>
      </c>
      <c r="E26" s="9" t="str">
        <f t="shared" si="2"/>
        <v/>
      </c>
      <c r="F26" s="9" t="str">
        <f t="shared" si="3"/>
        <v/>
      </c>
    </row>
    <row r="27" spans="1:9" x14ac:dyDescent="0.35">
      <c r="A27" s="4"/>
      <c r="B27" s="2" t="str">
        <f t="shared" si="0"/>
        <v/>
      </c>
      <c r="C27" s="2">
        <f t="shared" si="4"/>
        <v>2</v>
      </c>
      <c r="D27" s="9" t="str">
        <f t="shared" si="1"/>
        <v/>
      </c>
      <c r="E27" s="9" t="str">
        <f t="shared" si="2"/>
        <v/>
      </c>
      <c r="F27" s="9" t="str">
        <f t="shared" si="3"/>
        <v/>
      </c>
    </row>
    <row r="28" spans="1:9" x14ac:dyDescent="0.35">
      <c r="A28" s="4"/>
      <c r="B28" s="2" t="str">
        <f t="shared" si="0"/>
        <v/>
      </c>
      <c r="C28" s="2">
        <f t="shared" si="4"/>
        <v>2</v>
      </c>
      <c r="D28" s="9" t="str">
        <f t="shared" si="1"/>
        <v/>
      </c>
      <c r="E28" s="9" t="str">
        <f t="shared" si="2"/>
        <v/>
      </c>
      <c r="F28" s="9" t="str">
        <f t="shared" si="3"/>
        <v/>
      </c>
    </row>
    <row r="29" spans="1:9" x14ac:dyDescent="0.35">
      <c r="A29" s="4"/>
      <c r="B29" s="2" t="str">
        <f t="shared" si="0"/>
        <v/>
      </c>
      <c r="C29" s="2">
        <f t="shared" si="4"/>
        <v>2</v>
      </c>
      <c r="D29" s="9" t="str">
        <f t="shared" si="1"/>
        <v/>
      </c>
      <c r="E29" s="9" t="str">
        <f t="shared" si="2"/>
        <v/>
      </c>
      <c r="F29" s="9" t="str">
        <f t="shared" si="3"/>
        <v/>
      </c>
    </row>
    <row r="30" spans="1:9" x14ac:dyDescent="0.35">
      <c r="A30" s="4"/>
      <c r="B30" s="2" t="str">
        <f t="shared" si="0"/>
        <v/>
      </c>
      <c r="C30" s="2">
        <f t="shared" si="4"/>
        <v>2</v>
      </c>
      <c r="D30" s="9" t="str">
        <f t="shared" si="1"/>
        <v/>
      </c>
      <c r="E30" s="9" t="str">
        <f t="shared" si="2"/>
        <v/>
      </c>
      <c r="F30" s="9" t="str">
        <f t="shared" si="3"/>
        <v/>
      </c>
    </row>
    <row r="31" spans="1:9" x14ac:dyDescent="0.35">
      <c r="A31" s="4"/>
      <c r="B31" s="2" t="str">
        <f t="shared" si="0"/>
        <v/>
      </c>
      <c r="C31" s="2">
        <f t="shared" si="4"/>
        <v>2</v>
      </c>
      <c r="D31" s="9" t="str">
        <f t="shared" si="1"/>
        <v/>
      </c>
      <c r="E31" s="9" t="str">
        <f t="shared" si="2"/>
        <v/>
      </c>
      <c r="F31" s="9" t="str">
        <f t="shared" si="3"/>
        <v/>
      </c>
    </row>
    <row r="32" spans="1:9" x14ac:dyDescent="0.35">
      <c r="A32" s="4"/>
      <c r="B32" s="2" t="str">
        <f t="shared" si="0"/>
        <v/>
      </c>
      <c r="C32" s="2">
        <f t="shared" si="4"/>
        <v>2</v>
      </c>
      <c r="D32" s="9" t="str">
        <f t="shared" si="1"/>
        <v/>
      </c>
      <c r="E32" s="9" t="str">
        <f t="shared" si="2"/>
        <v/>
      </c>
      <c r="F32" s="9" t="str">
        <f t="shared" si="3"/>
        <v/>
      </c>
    </row>
    <row r="33" spans="1:6" x14ac:dyDescent="0.35">
      <c r="A33" s="4"/>
      <c r="B33" s="2" t="str">
        <f t="shared" si="0"/>
        <v/>
      </c>
      <c r="C33" s="2">
        <f t="shared" si="4"/>
        <v>2</v>
      </c>
      <c r="D33" s="9" t="str">
        <f t="shared" si="1"/>
        <v/>
      </c>
      <c r="E33" s="9" t="str">
        <f t="shared" si="2"/>
        <v/>
      </c>
      <c r="F33" s="9" t="str">
        <f t="shared" si="3"/>
        <v/>
      </c>
    </row>
    <row r="34" spans="1:6" x14ac:dyDescent="0.35">
      <c r="A34" s="4"/>
      <c r="B34" s="2" t="str">
        <f t="shared" si="0"/>
        <v/>
      </c>
      <c r="C34" s="2">
        <f t="shared" si="4"/>
        <v>2</v>
      </c>
      <c r="D34" s="9" t="str">
        <f t="shared" si="1"/>
        <v/>
      </c>
      <c r="E34" s="9" t="str">
        <f t="shared" si="2"/>
        <v/>
      </c>
      <c r="F34" s="9" t="str">
        <f t="shared" si="3"/>
        <v/>
      </c>
    </row>
    <row r="35" spans="1:6" x14ac:dyDescent="0.35">
      <c r="A35" s="4"/>
      <c r="B35" s="2" t="str">
        <f t="shared" si="0"/>
        <v/>
      </c>
      <c r="C35" s="2">
        <f t="shared" si="4"/>
        <v>2</v>
      </c>
      <c r="D35" s="9" t="str">
        <f t="shared" si="1"/>
        <v/>
      </c>
      <c r="E35" s="9" t="str">
        <f t="shared" si="2"/>
        <v/>
      </c>
      <c r="F35" s="9" t="str">
        <f t="shared" si="3"/>
        <v/>
      </c>
    </row>
    <row r="36" spans="1:6" x14ac:dyDescent="0.35">
      <c r="A36" s="4"/>
      <c r="B36" s="2" t="str">
        <f t="shared" si="0"/>
        <v/>
      </c>
      <c r="C36" s="2">
        <f t="shared" si="4"/>
        <v>2</v>
      </c>
      <c r="D36" s="9" t="str">
        <f t="shared" si="1"/>
        <v/>
      </c>
      <c r="E36" s="9" t="str">
        <f t="shared" si="2"/>
        <v/>
      </c>
      <c r="F36" s="9" t="str">
        <f t="shared" si="3"/>
        <v/>
      </c>
    </row>
    <row r="37" spans="1:6" x14ac:dyDescent="0.35">
      <c r="A37" s="4"/>
      <c r="B37" s="2" t="str">
        <f t="shared" si="0"/>
        <v/>
      </c>
      <c r="C37" s="2">
        <f t="shared" si="4"/>
        <v>2</v>
      </c>
      <c r="D37" s="9" t="str">
        <f t="shared" si="1"/>
        <v/>
      </c>
      <c r="E37" s="9" t="str">
        <f t="shared" si="2"/>
        <v/>
      </c>
      <c r="F37" s="9" t="str">
        <f t="shared" si="3"/>
        <v/>
      </c>
    </row>
    <row r="38" spans="1:6" x14ac:dyDescent="0.35">
      <c r="A38" s="4"/>
      <c r="B38" s="2" t="str">
        <f t="shared" si="0"/>
        <v/>
      </c>
      <c r="C38" s="2">
        <f t="shared" si="4"/>
        <v>2</v>
      </c>
      <c r="D38" s="9" t="str">
        <f t="shared" si="1"/>
        <v/>
      </c>
      <c r="E38" s="9" t="str">
        <f t="shared" si="2"/>
        <v/>
      </c>
      <c r="F38" s="9" t="str">
        <f t="shared" si="3"/>
        <v/>
      </c>
    </row>
    <row r="39" spans="1:6" x14ac:dyDescent="0.35">
      <c r="A39" s="4"/>
      <c r="B39" s="2" t="str">
        <f t="shared" si="0"/>
        <v/>
      </c>
      <c r="C39" s="2">
        <f t="shared" si="4"/>
        <v>2</v>
      </c>
      <c r="D39" s="9" t="str">
        <f t="shared" si="1"/>
        <v/>
      </c>
      <c r="E39" s="9" t="str">
        <f t="shared" si="2"/>
        <v/>
      </c>
      <c r="F39" s="9" t="str">
        <f t="shared" si="3"/>
        <v/>
      </c>
    </row>
    <row r="40" spans="1:6" x14ac:dyDescent="0.35">
      <c r="A40" s="4"/>
      <c r="B40" s="2" t="str">
        <f t="shared" si="0"/>
        <v/>
      </c>
      <c r="C40" s="2">
        <f t="shared" si="4"/>
        <v>2</v>
      </c>
      <c r="D40" s="9" t="str">
        <f t="shared" si="1"/>
        <v/>
      </c>
      <c r="E40" s="9" t="str">
        <f t="shared" si="2"/>
        <v/>
      </c>
      <c r="F40" s="9" t="str">
        <f t="shared" si="3"/>
        <v/>
      </c>
    </row>
    <row r="41" spans="1:6" x14ac:dyDescent="0.35">
      <c r="A41" s="4"/>
      <c r="B41" s="2" t="str">
        <f t="shared" si="0"/>
        <v/>
      </c>
      <c r="C41" s="2">
        <f t="shared" si="4"/>
        <v>2</v>
      </c>
      <c r="D41" s="9" t="str">
        <f t="shared" si="1"/>
        <v/>
      </c>
      <c r="E41" s="9" t="str">
        <f t="shared" si="2"/>
        <v/>
      </c>
      <c r="F41" s="9" t="str">
        <f t="shared" si="3"/>
        <v/>
      </c>
    </row>
    <row r="42" spans="1:6" x14ac:dyDescent="0.35">
      <c r="A42" s="4"/>
      <c r="B42" s="2" t="str">
        <f t="shared" si="0"/>
        <v/>
      </c>
      <c r="C42" s="2">
        <f t="shared" si="4"/>
        <v>2</v>
      </c>
      <c r="D42" s="9" t="str">
        <f t="shared" si="1"/>
        <v/>
      </c>
      <c r="E42" s="9" t="str">
        <f t="shared" si="2"/>
        <v/>
      </c>
      <c r="F42" s="9" t="str">
        <f t="shared" si="3"/>
        <v/>
      </c>
    </row>
    <row r="43" spans="1:6" x14ac:dyDescent="0.35">
      <c r="A43" s="4"/>
      <c r="B43" s="2" t="str">
        <f t="shared" si="0"/>
        <v/>
      </c>
      <c r="C43" s="2">
        <f t="shared" si="4"/>
        <v>2</v>
      </c>
      <c r="D43" s="9" t="str">
        <f t="shared" si="1"/>
        <v/>
      </c>
      <c r="E43" s="9" t="str">
        <f t="shared" si="2"/>
        <v/>
      </c>
      <c r="F43" s="9" t="str">
        <f t="shared" si="3"/>
        <v/>
      </c>
    </row>
    <row r="44" spans="1:6" x14ac:dyDescent="0.35">
      <c r="A44" s="4"/>
      <c r="B44" s="2" t="str">
        <f t="shared" si="0"/>
        <v/>
      </c>
      <c r="C44" s="2">
        <f t="shared" si="4"/>
        <v>2</v>
      </c>
      <c r="D44" s="9" t="str">
        <f t="shared" si="1"/>
        <v/>
      </c>
      <c r="E44" s="9" t="str">
        <f t="shared" si="2"/>
        <v/>
      </c>
      <c r="F44" s="9" t="str">
        <f t="shared" si="3"/>
        <v/>
      </c>
    </row>
    <row r="45" spans="1:6" x14ac:dyDescent="0.35">
      <c r="A45" s="4"/>
      <c r="B45" s="2" t="str">
        <f t="shared" si="0"/>
        <v/>
      </c>
      <c r="C45" s="2">
        <f t="shared" si="4"/>
        <v>2</v>
      </c>
      <c r="D45" s="9" t="str">
        <f t="shared" si="1"/>
        <v/>
      </c>
      <c r="E45" s="9" t="str">
        <f t="shared" si="2"/>
        <v/>
      </c>
      <c r="F45" s="9" t="str">
        <f t="shared" si="3"/>
        <v/>
      </c>
    </row>
    <row r="46" spans="1:6" x14ac:dyDescent="0.35">
      <c r="A46" s="4"/>
      <c r="B46" s="2" t="str">
        <f t="shared" si="0"/>
        <v/>
      </c>
      <c r="C46" s="2">
        <f t="shared" si="4"/>
        <v>2</v>
      </c>
      <c r="D46" s="9" t="str">
        <f t="shared" si="1"/>
        <v/>
      </c>
      <c r="E46" s="9" t="str">
        <f t="shared" si="2"/>
        <v/>
      </c>
      <c r="F46" s="9" t="str">
        <f t="shared" si="3"/>
        <v/>
      </c>
    </row>
    <row r="47" spans="1:6" x14ac:dyDescent="0.35">
      <c r="A47" s="4"/>
      <c r="B47" s="2" t="str">
        <f t="shared" si="0"/>
        <v/>
      </c>
      <c r="C47" s="2">
        <f t="shared" si="4"/>
        <v>2</v>
      </c>
      <c r="D47" s="9" t="str">
        <f t="shared" si="1"/>
        <v/>
      </c>
      <c r="E47" s="9" t="str">
        <f t="shared" si="2"/>
        <v/>
      </c>
      <c r="F47" s="9" t="str">
        <f t="shared" si="3"/>
        <v/>
      </c>
    </row>
    <row r="48" spans="1:6" x14ac:dyDescent="0.35">
      <c r="A48" s="4"/>
      <c r="B48" s="2" t="str">
        <f t="shared" si="0"/>
        <v/>
      </c>
      <c r="C48" s="2">
        <f t="shared" si="4"/>
        <v>2</v>
      </c>
      <c r="D48" s="9" t="str">
        <f t="shared" si="1"/>
        <v/>
      </c>
      <c r="E48" s="9" t="str">
        <f t="shared" si="2"/>
        <v/>
      </c>
      <c r="F48" s="9" t="str">
        <f t="shared" si="3"/>
        <v/>
      </c>
    </row>
    <row r="49" spans="1:6" x14ac:dyDescent="0.35">
      <c r="A49" s="4"/>
      <c r="B49" s="2" t="str">
        <f t="shared" ref="B49:B80" si="5">IF(A49="","",ROW()-16)</f>
        <v/>
      </c>
      <c r="C49" s="2">
        <f t="shared" ref="C49:C80" si="6">COUNTA($A$17:$A$116)</f>
        <v>2</v>
      </c>
      <c r="D49" s="9" t="str">
        <f t="shared" ref="D49:D80" si="7">IF(A49="","",(B49-0.3)/(C49+0.4))</f>
        <v/>
      </c>
      <c r="E49" s="9" t="str">
        <f t="shared" ref="E49:E80" si="8">IF(A49="","",LN(A49))</f>
        <v/>
      </c>
      <c r="F49" s="9" t="str">
        <f t="shared" ref="F49:F80" si="9">IF(A49="","",LN(LN(1/(1-D49))))</f>
        <v/>
      </c>
    </row>
    <row r="50" spans="1:6" x14ac:dyDescent="0.35">
      <c r="A50" s="4"/>
      <c r="B50" s="2" t="str">
        <f t="shared" si="5"/>
        <v/>
      </c>
      <c r="C50" s="2">
        <f t="shared" si="6"/>
        <v>2</v>
      </c>
      <c r="D50" s="9" t="str">
        <f t="shared" si="7"/>
        <v/>
      </c>
      <c r="E50" s="9" t="str">
        <f t="shared" si="8"/>
        <v/>
      </c>
      <c r="F50" s="9" t="str">
        <f t="shared" si="9"/>
        <v/>
      </c>
    </row>
    <row r="51" spans="1:6" x14ac:dyDescent="0.35">
      <c r="A51" s="4"/>
      <c r="B51" s="2" t="str">
        <f t="shared" si="5"/>
        <v/>
      </c>
      <c r="C51" s="2">
        <f t="shared" si="6"/>
        <v>2</v>
      </c>
      <c r="D51" s="9" t="str">
        <f t="shared" si="7"/>
        <v/>
      </c>
      <c r="E51" s="9" t="str">
        <f t="shared" si="8"/>
        <v/>
      </c>
      <c r="F51" s="9" t="str">
        <f t="shared" si="9"/>
        <v/>
      </c>
    </row>
    <row r="52" spans="1:6" x14ac:dyDescent="0.35">
      <c r="A52" s="4"/>
      <c r="B52" s="2" t="str">
        <f t="shared" si="5"/>
        <v/>
      </c>
      <c r="C52" s="2">
        <f t="shared" si="6"/>
        <v>2</v>
      </c>
      <c r="D52" s="9" t="str">
        <f t="shared" si="7"/>
        <v/>
      </c>
      <c r="E52" s="9" t="str">
        <f t="shared" si="8"/>
        <v/>
      </c>
      <c r="F52" s="9" t="str">
        <f t="shared" si="9"/>
        <v/>
      </c>
    </row>
    <row r="53" spans="1:6" x14ac:dyDescent="0.35">
      <c r="A53" s="4"/>
      <c r="B53" s="2" t="str">
        <f t="shared" si="5"/>
        <v/>
      </c>
      <c r="C53" s="2">
        <f t="shared" si="6"/>
        <v>2</v>
      </c>
      <c r="D53" s="9" t="str">
        <f t="shared" si="7"/>
        <v/>
      </c>
      <c r="E53" s="9" t="str">
        <f t="shared" si="8"/>
        <v/>
      </c>
      <c r="F53" s="9" t="str">
        <f t="shared" si="9"/>
        <v/>
      </c>
    </row>
    <row r="54" spans="1:6" x14ac:dyDescent="0.35">
      <c r="A54" s="4"/>
      <c r="B54" s="2" t="str">
        <f t="shared" si="5"/>
        <v/>
      </c>
      <c r="C54" s="2">
        <f t="shared" si="6"/>
        <v>2</v>
      </c>
      <c r="D54" s="9" t="str">
        <f t="shared" si="7"/>
        <v/>
      </c>
      <c r="E54" s="9" t="str">
        <f t="shared" si="8"/>
        <v/>
      </c>
      <c r="F54" s="9" t="str">
        <f t="shared" si="9"/>
        <v/>
      </c>
    </row>
    <row r="55" spans="1:6" x14ac:dyDescent="0.35">
      <c r="A55" s="4"/>
      <c r="B55" s="2" t="str">
        <f t="shared" si="5"/>
        <v/>
      </c>
      <c r="C55" s="2">
        <f t="shared" si="6"/>
        <v>2</v>
      </c>
      <c r="D55" s="9" t="str">
        <f t="shared" si="7"/>
        <v/>
      </c>
      <c r="E55" s="9" t="str">
        <f t="shared" si="8"/>
        <v/>
      </c>
      <c r="F55" s="9" t="str">
        <f t="shared" si="9"/>
        <v/>
      </c>
    </row>
    <row r="56" spans="1:6" x14ac:dyDescent="0.35">
      <c r="A56" s="4"/>
      <c r="B56" s="2" t="str">
        <f t="shared" si="5"/>
        <v/>
      </c>
      <c r="C56" s="2">
        <f t="shared" si="6"/>
        <v>2</v>
      </c>
      <c r="D56" s="9" t="str">
        <f t="shared" si="7"/>
        <v/>
      </c>
      <c r="E56" s="9" t="str">
        <f t="shared" si="8"/>
        <v/>
      </c>
      <c r="F56" s="9" t="str">
        <f t="shared" si="9"/>
        <v/>
      </c>
    </row>
    <row r="57" spans="1:6" x14ac:dyDescent="0.35">
      <c r="A57" s="4"/>
      <c r="B57" s="2" t="str">
        <f t="shared" si="5"/>
        <v/>
      </c>
      <c r="C57" s="2">
        <f t="shared" si="6"/>
        <v>2</v>
      </c>
      <c r="D57" s="9" t="str">
        <f t="shared" si="7"/>
        <v/>
      </c>
      <c r="E57" s="9" t="str">
        <f t="shared" si="8"/>
        <v/>
      </c>
      <c r="F57" s="9" t="str">
        <f t="shared" si="9"/>
        <v/>
      </c>
    </row>
    <row r="58" spans="1:6" x14ac:dyDescent="0.35">
      <c r="A58" s="4"/>
      <c r="B58" s="2" t="str">
        <f t="shared" si="5"/>
        <v/>
      </c>
      <c r="C58" s="2">
        <f t="shared" si="6"/>
        <v>2</v>
      </c>
      <c r="D58" s="9" t="str">
        <f t="shared" si="7"/>
        <v/>
      </c>
      <c r="E58" s="9" t="str">
        <f t="shared" si="8"/>
        <v/>
      </c>
      <c r="F58" s="9" t="str">
        <f t="shared" si="9"/>
        <v/>
      </c>
    </row>
    <row r="59" spans="1:6" x14ac:dyDescent="0.35">
      <c r="A59" s="4"/>
      <c r="B59" s="2" t="str">
        <f t="shared" si="5"/>
        <v/>
      </c>
      <c r="C59" s="2">
        <f t="shared" si="6"/>
        <v>2</v>
      </c>
      <c r="D59" s="9" t="str">
        <f t="shared" si="7"/>
        <v/>
      </c>
      <c r="E59" s="9" t="str">
        <f t="shared" si="8"/>
        <v/>
      </c>
      <c r="F59" s="9" t="str">
        <f t="shared" si="9"/>
        <v/>
      </c>
    </row>
    <row r="60" spans="1:6" x14ac:dyDescent="0.35">
      <c r="A60" s="4"/>
      <c r="B60" s="2" t="str">
        <f t="shared" si="5"/>
        <v/>
      </c>
      <c r="C60" s="2">
        <f t="shared" si="6"/>
        <v>2</v>
      </c>
      <c r="D60" s="9" t="str">
        <f t="shared" si="7"/>
        <v/>
      </c>
      <c r="E60" s="9" t="str">
        <f t="shared" si="8"/>
        <v/>
      </c>
      <c r="F60" s="9" t="str">
        <f t="shared" si="9"/>
        <v/>
      </c>
    </row>
    <row r="61" spans="1:6" x14ac:dyDescent="0.35">
      <c r="A61" s="4"/>
      <c r="B61" s="2" t="str">
        <f t="shared" si="5"/>
        <v/>
      </c>
      <c r="C61" s="2">
        <f t="shared" si="6"/>
        <v>2</v>
      </c>
      <c r="D61" s="9" t="str">
        <f t="shared" si="7"/>
        <v/>
      </c>
      <c r="E61" s="9" t="str">
        <f t="shared" si="8"/>
        <v/>
      </c>
      <c r="F61" s="9" t="str">
        <f t="shared" si="9"/>
        <v/>
      </c>
    </row>
    <row r="62" spans="1:6" x14ac:dyDescent="0.35">
      <c r="A62" s="4"/>
      <c r="B62" s="2" t="str">
        <f t="shared" si="5"/>
        <v/>
      </c>
      <c r="C62" s="2">
        <f t="shared" si="6"/>
        <v>2</v>
      </c>
      <c r="D62" s="9" t="str">
        <f t="shared" si="7"/>
        <v/>
      </c>
      <c r="E62" s="9" t="str">
        <f t="shared" si="8"/>
        <v/>
      </c>
      <c r="F62" s="9" t="str">
        <f t="shared" si="9"/>
        <v/>
      </c>
    </row>
    <row r="63" spans="1:6" x14ac:dyDescent="0.35">
      <c r="A63" s="4"/>
      <c r="B63" s="2" t="str">
        <f t="shared" si="5"/>
        <v/>
      </c>
      <c r="C63" s="2">
        <f t="shared" si="6"/>
        <v>2</v>
      </c>
      <c r="D63" s="9" t="str">
        <f t="shared" si="7"/>
        <v/>
      </c>
      <c r="E63" s="9" t="str">
        <f t="shared" si="8"/>
        <v/>
      </c>
      <c r="F63" s="9" t="str">
        <f t="shared" si="9"/>
        <v/>
      </c>
    </row>
    <row r="64" spans="1:6" x14ac:dyDescent="0.35">
      <c r="A64" s="4"/>
      <c r="B64" s="2" t="str">
        <f t="shared" si="5"/>
        <v/>
      </c>
      <c r="C64" s="2">
        <f t="shared" si="6"/>
        <v>2</v>
      </c>
      <c r="D64" s="9" t="str">
        <f t="shared" si="7"/>
        <v/>
      </c>
      <c r="E64" s="9" t="str">
        <f t="shared" si="8"/>
        <v/>
      </c>
      <c r="F64" s="9" t="str">
        <f t="shared" si="9"/>
        <v/>
      </c>
    </row>
    <row r="65" spans="1:6" x14ac:dyDescent="0.35">
      <c r="A65" s="4"/>
      <c r="B65" s="2" t="str">
        <f t="shared" si="5"/>
        <v/>
      </c>
      <c r="C65" s="2">
        <f t="shared" si="6"/>
        <v>2</v>
      </c>
      <c r="D65" s="9" t="str">
        <f t="shared" si="7"/>
        <v/>
      </c>
      <c r="E65" s="9" t="str">
        <f t="shared" si="8"/>
        <v/>
      </c>
      <c r="F65" s="9" t="str">
        <f t="shared" si="9"/>
        <v/>
      </c>
    </row>
    <row r="66" spans="1:6" x14ac:dyDescent="0.35">
      <c r="A66" s="4"/>
      <c r="B66" s="2" t="str">
        <f t="shared" si="5"/>
        <v/>
      </c>
      <c r="C66" s="2">
        <f t="shared" si="6"/>
        <v>2</v>
      </c>
      <c r="D66" s="9" t="str">
        <f t="shared" si="7"/>
        <v/>
      </c>
      <c r="E66" s="9" t="str">
        <f t="shared" si="8"/>
        <v/>
      </c>
      <c r="F66" s="9" t="str">
        <f t="shared" si="9"/>
        <v/>
      </c>
    </row>
    <row r="67" spans="1:6" x14ac:dyDescent="0.35">
      <c r="A67" s="4"/>
      <c r="B67" s="2" t="str">
        <f t="shared" si="5"/>
        <v/>
      </c>
      <c r="C67" s="2">
        <f t="shared" si="6"/>
        <v>2</v>
      </c>
      <c r="D67" s="9" t="str">
        <f t="shared" si="7"/>
        <v/>
      </c>
      <c r="E67" s="9" t="str">
        <f t="shared" si="8"/>
        <v/>
      </c>
      <c r="F67" s="9" t="str">
        <f t="shared" si="9"/>
        <v/>
      </c>
    </row>
    <row r="68" spans="1:6" x14ac:dyDescent="0.35">
      <c r="A68" s="4"/>
      <c r="B68" s="2" t="str">
        <f t="shared" si="5"/>
        <v/>
      </c>
      <c r="C68" s="2">
        <f t="shared" si="6"/>
        <v>2</v>
      </c>
      <c r="D68" s="9" t="str">
        <f t="shared" si="7"/>
        <v/>
      </c>
      <c r="E68" s="9" t="str">
        <f t="shared" si="8"/>
        <v/>
      </c>
      <c r="F68" s="9" t="str">
        <f t="shared" si="9"/>
        <v/>
      </c>
    </row>
    <row r="69" spans="1:6" x14ac:dyDescent="0.35">
      <c r="A69" s="4"/>
      <c r="B69" s="2" t="str">
        <f t="shared" si="5"/>
        <v/>
      </c>
      <c r="C69" s="2">
        <f t="shared" si="6"/>
        <v>2</v>
      </c>
      <c r="D69" s="9" t="str">
        <f t="shared" si="7"/>
        <v/>
      </c>
      <c r="E69" s="9" t="str">
        <f t="shared" si="8"/>
        <v/>
      </c>
      <c r="F69" s="9" t="str">
        <f t="shared" si="9"/>
        <v/>
      </c>
    </row>
    <row r="70" spans="1:6" x14ac:dyDescent="0.35">
      <c r="A70" s="4"/>
      <c r="B70" s="2" t="str">
        <f t="shared" si="5"/>
        <v/>
      </c>
      <c r="C70" s="2">
        <f t="shared" si="6"/>
        <v>2</v>
      </c>
      <c r="D70" s="9" t="str">
        <f t="shared" si="7"/>
        <v/>
      </c>
      <c r="E70" s="9" t="str">
        <f t="shared" si="8"/>
        <v/>
      </c>
      <c r="F70" s="9" t="str">
        <f t="shared" si="9"/>
        <v/>
      </c>
    </row>
    <row r="71" spans="1:6" x14ac:dyDescent="0.35">
      <c r="A71" s="4"/>
      <c r="B71" s="2" t="str">
        <f t="shared" si="5"/>
        <v/>
      </c>
      <c r="C71" s="2">
        <f t="shared" si="6"/>
        <v>2</v>
      </c>
      <c r="D71" s="9" t="str">
        <f t="shared" si="7"/>
        <v/>
      </c>
      <c r="E71" s="9" t="str">
        <f t="shared" si="8"/>
        <v/>
      </c>
      <c r="F71" s="9" t="str">
        <f t="shared" si="9"/>
        <v/>
      </c>
    </row>
    <row r="72" spans="1:6" x14ac:dyDescent="0.35">
      <c r="A72" s="4"/>
      <c r="B72" s="2" t="str">
        <f t="shared" si="5"/>
        <v/>
      </c>
      <c r="C72" s="2">
        <f t="shared" si="6"/>
        <v>2</v>
      </c>
      <c r="D72" s="9" t="str">
        <f t="shared" si="7"/>
        <v/>
      </c>
      <c r="E72" s="9" t="str">
        <f t="shared" si="8"/>
        <v/>
      </c>
      <c r="F72" s="9" t="str">
        <f t="shared" si="9"/>
        <v/>
      </c>
    </row>
    <row r="73" spans="1:6" x14ac:dyDescent="0.35">
      <c r="A73" s="4"/>
      <c r="B73" s="2" t="str">
        <f t="shared" si="5"/>
        <v/>
      </c>
      <c r="C73" s="2">
        <f t="shared" si="6"/>
        <v>2</v>
      </c>
      <c r="D73" s="9" t="str">
        <f t="shared" si="7"/>
        <v/>
      </c>
      <c r="E73" s="9" t="str">
        <f t="shared" si="8"/>
        <v/>
      </c>
      <c r="F73" s="9" t="str">
        <f t="shared" si="9"/>
        <v/>
      </c>
    </row>
    <row r="74" spans="1:6" x14ac:dyDescent="0.35">
      <c r="A74" s="4"/>
      <c r="B74" s="2" t="str">
        <f t="shared" si="5"/>
        <v/>
      </c>
      <c r="C74" s="2">
        <f t="shared" si="6"/>
        <v>2</v>
      </c>
      <c r="D74" s="9" t="str">
        <f t="shared" si="7"/>
        <v/>
      </c>
      <c r="E74" s="9" t="str">
        <f t="shared" si="8"/>
        <v/>
      </c>
      <c r="F74" s="9" t="str">
        <f t="shared" si="9"/>
        <v/>
      </c>
    </row>
    <row r="75" spans="1:6" x14ac:dyDescent="0.35">
      <c r="A75" s="4"/>
      <c r="B75" s="2" t="str">
        <f t="shared" si="5"/>
        <v/>
      </c>
      <c r="C75" s="2">
        <f t="shared" si="6"/>
        <v>2</v>
      </c>
      <c r="D75" s="9" t="str">
        <f t="shared" si="7"/>
        <v/>
      </c>
      <c r="E75" s="9" t="str">
        <f t="shared" si="8"/>
        <v/>
      </c>
      <c r="F75" s="9" t="str">
        <f t="shared" si="9"/>
        <v/>
      </c>
    </row>
    <row r="76" spans="1:6" x14ac:dyDescent="0.35">
      <c r="A76" s="4"/>
      <c r="B76" s="2" t="str">
        <f t="shared" si="5"/>
        <v/>
      </c>
      <c r="C76" s="2">
        <f t="shared" si="6"/>
        <v>2</v>
      </c>
      <c r="D76" s="9" t="str">
        <f t="shared" si="7"/>
        <v/>
      </c>
      <c r="E76" s="9" t="str">
        <f t="shared" si="8"/>
        <v/>
      </c>
      <c r="F76" s="9" t="str">
        <f t="shared" si="9"/>
        <v/>
      </c>
    </row>
    <row r="77" spans="1:6" x14ac:dyDescent="0.35">
      <c r="A77" s="4"/>
      <c r="B77" s="2" t="str">
        <f t="shared" si="5"/>
        <v/>
      </c>
      <c r="C77" s="2">
        <f t="shared" si="6"/>
        <v>2</v>
      </c>
      <c r="D77" s="9" t="str">
        <f t="shared" si="7"/>
        <v/>
      </c>
      <c r="E77" s="9" t="str">
        <f t="shared" si="8"/>
        <v/>
      </c>
      <c r="F77" s="9" t="str">
        <f t="shared" si="9"/>
        <v/>
      </c>
    </row>
    <row r="78" spans="1:6" x14ac:dyDescent="0.35">
      <c r="A78" s="4"/>
      <c r="B78" s="2" t="str">
        <f t="shared" si="5"/>
        <v/>
      </c>
      <c r="C78" s="2">
        <f t="shared" si="6"/>
        <v>2</v>
      </c>
      <c r="D78" s="9" t="str">
        <f t="shared" si="7"/>
        <v/>
      </c>
      <c r="E78" s="9" t="str">
        <f t="shared" si="8"/>
        <v/>
      </c>
      <c r="F78" s="9" t="str">
        <f t="shared" si="9"/>
        <v/>
      </c>
    </row>
    <row r="79" spans="1:6" x14ac:dyDescent="0.35">
      <c r="A79" s="4"/>
      <c r="B79" s="2" t="str">
        <f t="shared" si="5"/>
        <v/>
      </c>
      <c r="C79" s="2">
        <f t="shared" si="6"/>
        <v>2</v>
      </c>
      <c r="D79" s="9" t="str">
        <f t="shared" si="7"/>
        <v/>
      </c>
      <c r="E79" s="9" t="str">
        <f t="shared" si="8"/>
        <v/>
      </c>
      <c r="F79" s="9" t="str">
        <f t="shared" si="9"/>
        <v/>
      </c>
    </row>
    <row r="80" spans="1:6" x14ac:dyDescent="0.35">
      <c r="A80" s="4"/>
      <c r="B80" s="2" t="str">
        <f t="shared" si="5"/>
        <v/>
      </c>
      <c r="C80" s="2">
        <f t="shared" si="6"/>
        <v>2</v>
      </c>
      <c r="D80" s="9" t="str">
        <f t="shared" si="7"/>
        <v/>
      </c>
      <c r="E80" s="9" t="str">
        <f t="shared" si="8"/>
        <v/>
      </c>
      <c r="F80" s="9" t="str">
        <f t="shared" si="9"/>
        <v/>
      </c>
    </row>
    <row r="81" spans="1:6" x14ac:dyDescent="0.35">
      <c r="A81" s="4"/>
      <c r="B81" s="2" t="str">
        <f t="shared" ref="B81:B112" si="10">IF(A81="","",ROW()-16)</f>
        <v/>
      </c>
      <c r="C81" s="2">
        <f t="shared" ref="C81:C116" si="11">COUNTA($A$17:$A$116)</f>
        <v>2</v>
      </c>
      <c r="D81" s="9" t="str">
        <f t="shared" ref="D81:D112" si="12">IF(A81="","",(B81-0.3)/(C81+0.4))</f>
        <v/>
      </c>
      <c r="E81" s="9" t="str">
        <f t="shared" ref="E81:E116" si="13">IF(A81="","",LN(A81))</f>
        <v/>
      </c>
      <c r="F81" s="9" t="str">
        <f t="shared" ref="F81:F116" si="14">IF(A81="","",LN(LN(1/(1-D81))))</f>
        <v/>
      </c>
    </row>
    <row r="82" spans="1:6" x14ac:dyDescent="0.35">
      <c r="A82" s="4"/>
      <c r="B82" s="2" t="str">
        <f t="shared" si="10"/>
        <v/>
      </c>
      <c r="C82" s="2">
        <f t="shared" si="11"/>
        <v>2</v>
      </c>
      <c r="D82" s="9" t="str">
        <f t="shared" si="12"/>
        <v/>
      </c>
      <c r="E82" s="9" t="str">
        <f t="shared" si="13"/>
        <v/>
      </c>
      <c r="F82" s="9" t="str">
        <f t="shared" si="14"/>
        <v/>
      </c>
    </row>
    <row r="83" spans="1:6" x14ac:dyDescent="0.35">
      <c r="A83" s="4"/>
      <c r="B83" s="2" t="str">
        <f t="shared" si="10"/>
        <v/>
      </c>
      <c r="C83" s="2">
        <f t="shared" si="11"/>
        <v>2</v>
      </c>
      <c r="D83" s="9" t="str">
        <f t="shared" si="12"/>
        <v/>
      </c>
      <c r="E83" s="9" t="str">
        <f t="shared" si="13"/>
        <v/>
      </c>
      <c r="F83" s="9" t="str">
        <f t="shared" si="14"/>
        <v/>
      </c>
    </row>
    <row r="84" spans="1:6" x14ac:dyDescent="0.35">
      <c r="A84" s="4"/>
      <c r="B84" s="2" t="str">
        <f t="shared" si="10"/>
        <v/>
      </c>
      <c r="C84" s="2">
        <f t="shared" si="11"/>
        <v>2</v>
      </c>
      <c r="D84" s="9" t="str">
        <f t="shared" si="12"/>
        <v/>
      </c>
      <c r="E84" s="9" t="str">
        <f t="shared" si="13"/>
        <v/>
      </c>
      <c r="F84" s="9" t="str">
        <f t="shared" si="14"/>
        <v/>
      </c>
    </row>
    <row r="85" spans="1:6" x14ac:dyDescent="0.35">
      <c r="A85" s="4"/>
      <c r="B85" s="2" t="str">
        <f t="shared" si="10"/>
        <v/>
      </c>
      <c r="C85" s="2">
        <f t="shared" si="11"/>
        <v>2</v>
      </c>
      <c r="D85" s="9" t="str">
        <f t="shared" si="12"/>
        <v/>
      </c>
      <c r="E85" s="9" t="str">
        <f t="shared" si="13"/>
        <v/>
      </c>
      <c r="F85" s="9" t="str">
        <f t="shared" si="14"/>
        <v/>
      </c>
    </row>
    <row r="86" spans="1:6" x14ac:dyDescent="0.35">
      <c r="A86" s="4"/>
      <c r="B86" s="2" t="str">
        <f t="shared" si="10"/>
        <v/>
      </c>
      <c r="C86" s="2">
        <f t="shared" si="11"/>
        <v>2</v>
      </c>
      <c r="D86" s="9" t="str">
        <f t="shared" si="12"/>
        <v/>
      </c>
      <c r="E86" s="9" t="str">
        <f t="shared" si="13"/>
        <v/>
      </c>
      <c r="F86" s="9" t="str">
        <f t="shared" si="14"/>
        <v/>
      </c>
    </row>
    <row r="87" spans="1:6" x14ac:dyDescent="0.35">
      <c r="A87" s="4"/>
      <c r="B87" s="2" t="str">
        <f t="shared" si="10"/>
        <v/>
      </c>
      <c r="C87" s="2">
        <f t="shared" si="11"/>
        <v>2</v>
      </c>
      <c r="D87" s="9" t="str">
        <f t="shared" si="12"/>
        <v/>
      </c>
      <c r="E87" s="9" t="str">
        <f t="shared" si="13"/>
        <v/>
      </c>
      <c r="F87" s="9" t="str">
        <f t="shared" si="14"/>
        <v/>
      </c>
    </row>
    <row r="88" spans="1:6" x14ac:dyDescent="0.35">
      <c r="A88" s="4"/>
      <c r="B88" s="2" t="str">
        <f t="shared" si="10"/>
        <v/>
      </c>
      <c r="C88" s="2">
        <f t="shared" si="11"/>
        <v>2</v>
      </c>
      <c r="D88" s="9" t="str">
        <f t="shared" si="12"/>
        <v/>
      </c>
      <c r="E88" s="9" t="str">
        <f t="shared" si="13"/>
        <v/>
      </c>
      <c r="F88" s="9" t="str">
        <f t="shared" si="14"/>
        <v/>
      </c>
    </row>
    <row r="89" spans="1:6" x14ac:dyDescent="0.35">
      <c r="A89" s="4"/>
      <c r="B89" s="2" t="str">
        <f t="shared" si="10"/>
        <v/>
      </c>
      <c r="C89" s="2">
        <f t="shared" si="11"/>
        <v>2</v>
      </c>
      <c r="D89" s="9" t="str">
        <f t="shared" si="12"/>
        <v/>
      </c>
      <c r="E89" s="9" t="str">
        <f t="shared" si="13"/>
        <v/>
      </c>
      <c r="F89" s="9" t="str">
        <f t="shared" si="14"/>
        <v/>
      </c>
    </row>
    <row r="90" spans="1:6" x14ac:dyDescent="0.35">
      <c r="A90" s="4"/>
      <c r="B90" s="2" t="str">
        <f t="shared" si="10"/>
        <v/>
      </c>
      <c r="C90" s="2">
        <f t="shared" si="11"/>
        <v>2</v>
      </c>
      <c r="D90" s="9" t="str">
        <f t="shared" si="12"/>
        <v/>
      </c>
      <c r="E90" s="9" t="str">
        <f t="shared" si="13"/>
        <v/>
      </c>
      <c r="F90" s="9" t="str">
        <f t="shared" si="14"/>
        <v/>
      </c>
    </row>
    <row r="91" spans="1:6" x14ac:dyDescent="0.35">
      <c r="A91" s="4"/>
      <c r="B91" s="2" t="str">
        <f t="shared" si="10"/>
        <v/>
      </c>
      <c r="C91" s="2">
        <f t="shared" si="11"/>
        <v>2</v>
      </c>
      <c r="D91" s="9" t="str">
        <f t="shared" si="12"/>
        <v/>
      </c>
      <c r="E91" s="9" t="str">
        <f t="shared" si="13"/>
        <v/>
      </c>
      <c r="F91" s="9" t="str">
        <f t="shared" si="14"/>
        <v/>
      </c>
    </row>
    <row r="92" spans="1:6" x14ac:dyDescent="0.35">
      <c r="A92" s="4"/>
      <c r="B92" s="2" t="str">
        <f t="shared" si="10"/>
        <v/>
      </c>
      <c r="C92" s="2">
        <f t="shared" si="11"/>
        <v>2</v>
      </c>
      <c r="D92" s="9" t="str">
        <f t="shared" si="12"/>
        <v/>
      </c>
      <c r="E92" s="9" t="str">
        <f t="shared" si="13"/>
        <v/>
      </c>
      <c r="F92" s="9" t="str">
        <f t="shared" si="14"/>
        <v/>
      </c>
    </row>
    <row r="93" spans="1:6" x14ac:dyDescent="0.35">
      <c r="A93" s="4"/>
      <c r="B93" s="2" t="str">
        <f t="shared" si="10"/>
        <v/>
      </c>
      <c r="C93" s="2">
        <f t="shared" si="11"/>
        <v>2</v>
      </c>
      <c r="D93" s="9" t="str">
        <f t="shared" si="12"/>
        <v/>
      </c>
      <c r="E93" s="9" t="str">
        <f t="shared" si="13"/>
        <v/>
      </c>
      <c r="F93" s="9" t="str">
        <f t="shared" si="14"/>
        <v/>
      </c>
    </row>
    <row r="94" spans="1:6" x14ac:dyDescent="0.35">
      <c r="A94" s="4"/>
      <c r="B94" s="2" t="str">
        <f t="shared" si="10"/>
        <v/>
      </c>
      <c r="C94" s="2">
        <f t="shared" si="11"/>
        <v>2</v>
      </c>
      <c r="D94" s="9" t="str">
        <f t="shared" si="12"/>
        <v/>
      </c>
      <c r="E94" s="9" t="str">
        <f t="shared" si="13"/>
        <v/>
      </c>
      <c r="F94" s="9" t="str">
        <f t="shared" si="14"/>
        <v/>
      </c>
    </row>
    <row r="95" spans="1:6" x14ac:dyDescent="0.35">
      <c r="A95" s="4"/>
      <c r="B95" s="2" t="str">
        <f t="shared" si="10"/>
        <v/>
      </c>
      <c r="C95" s="2">
        <f t="shared" si="11"/>
        <v>2</v>
      </c>
      <c r="D95" s="9" t="str">
        <f t="shared" si="12"/>
        <v/>
      </c>
      <c r="E95" s="9" t="str">
        <f t="shared" si="13"/>
        <v/>
      </c>
      <c r="F95" s="9" t="str">
        <f t="shared" si="14"/>
        <v/>
      </c>
    </row>
    <row r="96" spans="1:6" x14ac:dyDescent="0.35">
      <c r="A96" s="4"/>
      <c r="B96" s="2" t="str">
        <f t="shared" si="10"/>
        <v/>
      </c>
      <c r="C96" s="2">
        <f t="shared" si="11"/>
        <v>2</v>
      </c>
      <c r="D96" s="9" t="str">
        <f t="shared" si="12"/>
        <v/>
      </c>
      <c r="E96" s="9" t="str">
        <f t="shared" si="13"/>
        <v/>
      </c>
      <c r="F96" s="9" t="str">
        <f t="shared" si="14"/>
        <v/>
      </c>
    </row>
    <row r="97" spans="1:6" x14ac:dyDescent="0.35">
      <c r="A97" s="4"/>
      <c r="B97" s="2" t="str">
        <f t="shared" si="10"/>
        <v/>
      </c>
      <c r="C97" s="2">
        <f t="shared" si="11"/>
        <v>2</v>
      </c>
      <c r="D97" s="9" t="str">
        <f t="shared" si="12"/>
        <v/>
      </c>
      <c r="E97" s="9" t="str">
        <f t="shared" si="13"/>
        <v/>
      </c>
      <c r="F97" s="9" t="str">
        <f t="shared" si="14"/>
        <v/>
      </c>
    </row>
    <row r="98" spans="1:6" x14ac:dyDescent="0.35">
      <c r="A98" s="4"/>
      <c r="B98" s="2" t="str">
        <f t="shared" si="10"/>
        <v/>
      </c>
      <c r="C98" s="2">
        <f t="shared" si="11"/>
        <v>2</v>
      </c>
      <c r="D98" s="9" t="str">
        <f t="shared" si="12"/>
        <v/>
      </c>
      <c r="E98" s="9" t="str">
        <f t="shared" si="13"/>
        <v/>
      </c>
      <c r="F98" s="9" t="str">
        <f t="shared" si="14"/>
        <v/>
      </c>
    </row>
    <row r="99" spans="1:6" x14ac:dyDescent="0.35">
      <c r="A99" s="4"/>
      <c r="B99" s="2" t="str">
        <f t="shared" si="10"/>
        <v/>
      </c>
      <c r="C99" s="2">
        <f t="shared" si="11"/>
        <v>2</v>
      </c>
      <c r="D99" s="9" t="str">
        <f t="shared" si="12"/>
        <v/>
      </c>
      <c r="E99" s="9" t="str">
        <f t="shared" si="13"/>
        <v/>
      </c>
      <c r="F99" s="9" t="str">
        <f t="shared" si="14"/>
        <v/>
      </c>
    </row>
    <row r="100" spans="1:6" x14ac:dyDescent="0.35">
      <c r="A100" s="4"/>
      <c r="B100" s="2" t="str">
        <f t="shared" si="10"/>
        <v/>
      </c>
      <c r="C100" s="2">
        <f t="shared" si="11"/>
        <v>2</v>
      </c>
      <c r="D100" s="9" t="str">
        <f t="shared" si="12"/>
        <v/>
      </c>
      <c r="E100" s="9" t="str">
        <f t="shared" si="13"/>
        <v/>
      </c>
      <c r="F100" s="9" t="str">
        <f t="shared" si="14"/>
        <v/>
      </c>
    </row>
    <row r="101" spans="1:6" x14ac:dyDescent="0.35">
      <c r="A101" s="4"/>
      <c r="B101" s="2" t="str">
        <f t="shared" si="10"/>
        <v/>
      </c>
      <c r="C101" s="2">
        <f t="shared" si="11"/>
        <v>2</v>
      </c>
      <c r="D101" s="9" t="str">
        <f t="shared" si="12"/>
        <v/>
      </c>
      <c r="E101" s="9" t="str">
        <f t="shared" si="13"/>
        <v/>
      </c>
      <c r="F101" s="9" t="str">
        <f t="shared" si="14"/>
        <v/>
      </c>
    </row>
    <row r="102" spans="1:6" x14ac:dyDescent="0.35">
      <c r="A102" s="4"/>
      <c r="B102" s="2" t="str">
        <f t="shared" si="10"/>
        <v/>
      </c>
      <c r="C102" s="2">
        <f t="shared" si="11"/>
        <v>2</v>
      </c>
      <c r="D102" s="9" t="str">
        <f t="shared" si="12"/>
        <v/>
      </c>
      <c r="E102" s="9" t="str">
        <f t="shared" si="13"/>
        <v/>
      </c>
      <c r="F102" s="9" t="str">
        <f t="shared" si="14"/>
        <v/>
      </c>
    </row>
    <row r="103" spans="1:6" x14ac:dyDescent="0.35">
      <c r="A103" s="4"/>
      <c r="B103" s="2" t="str">
        <f t="shared" si="10"/>
        <v/>
      </c>
      <c r="C103" s="2">
        <f t="shared" si="11"/>
        <v>2</v>
      </c>
      <c r="D103" s="9" t="str">
        <f t="shared" si="12"/>
        <v/>
      </c>
      <c r="E103" s="9" t="str">
        <f t="shared" si="13"/>
        <v/>
      </c>
      <c r="F103" s="9" t="str">
        <f t="shared" si="14"/>
        <v/>
      </c>
    </row>
    <row r="104" spans="1:6" x14ac:dyDescent="0.35">
      <c r="A104" s="4"/>
      <c r="B104" s="2" t="str">
        <f t="shared" si="10"/>
        <v/>
      </c>
      <c r="C104" s="2">
        <f t="shared" si="11"/>
        <v>2</v>
      </c>
      <c r="D104" s="9" t="str">
        <f t="shared" si="12"/>
        <v/>
      </c>
      <c r="E104" s="9" t="str">
        <f t="shared" si="13"/>
        <v/>
      </c>
      <c r="F104" s="9" t="str">
        <f t="shared" si="14"/>
        <v/>
      </c>
    </row>
    <row r="105" spans="1:6" x14ac:dyDescent="0.35">
      <c r="A105" s="4"/>
      <c r="B105" s="2" t="str">
        <f t="shared" si="10"/>
        <v/>
      </c>
      <c r="C105" s="2">
        <f t="shared" si="11"/>
        <v>2</v>
      </c>
      <c r="D105" s="9" t="str">
        <f t="shared" si="12"/>
        <v/>
      </c>
      <c r="E105" s="9" t="str">
        <f t="shared" si="13"/>
        <v/>
      </c>
      <c r="F105" s="9" t="str">
        <f t="shared" si="14"/>
        <v/>
      </c>
    </row>
    <row r="106" spans="1:6" x14ac:dyDescent="0.35">
      <c r="A106" s="4"/>
      <c r="B106" s="2" t="str">
        <f t="shared" si="10"/>
        <v/>
      </c>
      <c r="C106" s="2">
        <f t="shared" si="11"/>
        <v>2</v>
      </c>
      <c r="D106" s="9" t="str">
        <f t="shared" si="12"/>
        <v/>
      </c>
      <c r="E106" s="9" t="str">
        <f t="shared" si="13"/>
        <v/>
      </c>
      <c r="F106" s="9" t="str">
        <f t="shared" si="14"/>
        <v/>
      </c>
    </row>
    <row r="107" spans="1:6" x14ac:dyDescent="0.35">
      <c r="A107" s="4"/>
      <c r="B107" s="2" t="str">
        <f t="shared" si="10"/>
        <v/>
      </c>
      <c r="C107" s="2">
        <f t="shared" si="11"/>
        <v>2</v>
      </c>
      <c r="D107" s="9" t="str">
        <f t="shared" si="12"/>
        <v/>
      </c>
      <c r="E107" s="9" t="str">
        <f t="shared" si="13"/>
        <v/>
      </c>
      <c r="F107" s="9" t="str">
        <f t="shared" si="14"/>
        <v/>
      </c>
    </row>
    <row r="108" spans="1:6" x14ac:dyDescent="0.35">
      <c r="A108" s="4"/>
      <c r="B108" s="2" t="str">
        <f t="shared" si="10"/>
        <v/>
      </c>
      <c r="C108" s="2">
        <f t="shared" si="11"/>
        <v>2</v>
      </c>
      <c r="D108" s="9" t="str">
        <f t="shared" si="12"/>
        <v/>
      </c>
      <c r="E108" s="9" t="str">
        <f t="shared" si="13"/>
        <v/>
      </c>
      <c r="F108" s="9" t="str">
        <f t="shared" si="14"/>
        <v/>
      </c>
    </row>
    <row r="109" spans="1:6" x14ac:dyDescent="0.35">
      <c r="A109" s="4"/>
      <c r="B109" s="2" t="str">
        <f t="shared" si="10"/>
        <v/>
      </c>
      <c r="C109" s="2">
        <f t="shared" si="11"/>
        <v>2</v>
      </c>
      <c r="D109" s="9" t="str">
        <f t="shared" si="12"/>
        <v/>
      </c>
      <c r="E109" s="9" t="str">
        <f t="shared" si="13"/>
        <v/>
      </c>
      <c r="F109" s="9" t="str">
        <f t="shared" si="14"/>
        <v/>
      </c>
    </row>
    <row r="110" spans="1:6" x14ac:dyDescent="0.35">
      <c r="A110" s="4"/>
      <c r="B110" s="2" t="str">
        <f t="shared" si="10"/>
        <v/>
      </c>
      <c r="C110" s="2">
        <f t="shared" si="11"/>
        <v>2</v>
      </c>
      <c r="D110" s="9" t="str">
        <f t="shared" si="12"/>
        <v/>
      </c>
      <c r="E110" s="9" t="str">
        <f t="shared" si="13"/>
        <v/>
      </c>
      <c r="F110" s="9" t="str">
        <f t="shared" si="14"/>
        <v/>
      </c>
    </row>
    <row r="111" spans="1:6" x14ac:dyDescent="0.35">
      <c r="A111" s="4"/>
      <c r="B111" s="2" t="str">
        <f t="shared" si="10"/>
        <v/>
      </c>
      <c r="C111" s="2">
        <f t="shared" si="11"/>
        <v>2</v>
      </c>
      <c r="D111" s="9" t="str">
        <f t="shared" si="12"/>
        <v/>
      </c>
      <c r="E111" s="9" t="str">
        <f t="shared" si="13"/>
        <v/>
      </c>
      <c r="F111" s="9" t="str">
        <f t="shared" si="14"/>
        <v/>
      </c>
    </row>
    <row r="112" spans="1:6" x14ac:dyDescent="0.35">
      <c r="A112" s="4"/>
      <c r="B112" s="2" t="str">
        <f t="shared" si="10"/>
        <v/>
      </c>
      <c r="C112" s="2">
        <f t="shared" si="11"/>
        <v>2</v>
      </c>
      <c r="D112" s="9" t="str">
        <f t="shared" si="12"/>
        <v/>
      </c>
      <c r="E112" s="9" t="str">
        <f t="shared" si="13"/>
        <v/>
      </c>
      <c r="F112" s="9" t="str">
        <f t="shared" si="14"/>
        <v/>
      </c>
    </row>
    <row r="113" spans="1:6" x14ac:dyDescent="0.35">
      <c r="A113" s="4"/>
      <c r="B113" s="2" t="str">
        <f t="shared" ref="B113:B144" si="15">IF(A113="","",ROW()-16)</f>
        <v/>
      </c>
      <c r="C113" s="2">
        <f t="shared" si="11"/>
        <v>2</v>
      </c>
      <c r="D113" s="9" t="str">
        <f t="shared" ref="D113:D144" si="16">IF(A113="","",(B113-0.3)/(C113+0.4))</f>
        <v/>
      </c>
      <c r="E113" s="9" t="str">
        <f t="shared" si="13"/>
        <v/>
      </c>
      <c r="F113" s="9" t="str">
        <f t="shared" si="14"/>
        <v/>
      </c>
    </row>
    <row r="114" spans="1:6" x14ac:dyDescent="0.35">
      <c r="A114" s="4"/>
      <c r="B114" s="2" t="str">
        <f t="shared" si="15"/>
        <v/>
      </c>
      <c r="C114" s="2">
        <f t="shared" si="11"/>
        <v>2</v>
      </c>
      <c r="D114" s="9" t="str">
        <f t="shared" si="16"/>
        <v/>
      </c>
      <c r="E114" s="9" t="str">
        <f t="shared" si="13"/>
        <v/>
      </c>
      <c r="F114" s="9" t="str">
        <f t="shared" si="14"/>
        <v/>
      </c>
    </row>
    <row r="115" spans="1:6" x14ac:dyDescent="0.35">
      <c r="A115" s="4"/>
      <c r="B115" s="2" t="str">
        <f t="shared" si="15"/>
        <v/>
      </c>
      <c r="C115" s="2">
        <f t="shared" si="11"/>
        <v>2</v>
      </c>
      <c r="D115" s="9" t="str">
        <f t="shared" si="16"/>
        <v/>
      </c>
      <c r="E115" s="9" t="str">
        <f t="shared" si="13"/>
        <v/>
      </c>
      <c r="F115" s="9" t="str">
        <f t="shared" si="14"/>
        <v/>
      </c>
    </row>
    <row r="116" spans="1:6" x14ac:dyDescent="0.35">
      <c r="A116" s="4"/>
      <c r="B116" s="2" t="str">
        <f t="shared" si="15"/>
        <v/>
      </c>
      <c r="C116" s="2">
        <f t="shared" si="11"/>
        <v>2</v>
      </c>
      <c r="D116" s="9" t="str">
        <f t="shared" si="16"/>
        <v/>
      </c>
      <c r="E116" s="9" t="str">
        <f t="shared" si="13"/>
        <v/>
      </c>
      <c r="F116" s="9" t="str">
        <f t="shared" si="14"/>
        <v/>
      </c>
    </row>
  </sheetData>
  <mergeCells count="4">
    <mergeCell ref="H16:K16"/>
    <mergeCell ref="A15:F15"/>
    <mergeCell ref="D4:H6"/>
    <mergeCell ref="A1:H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Failure_Events</vt:lpstr>
      <vt:lpstr>WBL_11_3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2026-02-10T14:42:25Z</dcterms:created>
  <dcterms:modified xsi:type="dcterms:W3CDTF">2026-02-10T15:04:19Z</dcterms:modified>
</cp:coreProperties>
</file>